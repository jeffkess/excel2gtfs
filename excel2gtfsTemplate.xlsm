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workbookPr defaultThemeVersion="166925"/>
  <mc:AlternateContent xmlns:mc="http://schemas.openxmlformats.org/markup-compatibility/2006">
    <mc:Choice Requires="x15">
      <x15ac:absPath xmlns:x15ac="http://schemas.microsoft.com/office/spreadsheetml/2010/11/ac" url="/Users/jeffkess/Dropbox/Files/Apps &amp; Data/GTFS &amp; Realtime Data/Excel2GTFS/"/>
    </mc:Choice>
  </mc:AlternateContent>
  <xr:revisionPtr revIDLastSave="0" documentId="13_ncr:1_{8E7BC8EB-6EF1-E840-9894-5E13B7383E29}" xr6:coauthVersionLast="47" xr6:coauthVersionMax="47" xr10:uidLastSave="{00000000-0000-0000-0000-000000000000}"/>
  <bookViews>
    <workbookView xWindow="0" yWindow="460" windowWidth="25600" windowHeight="15500" xr2:uid="{8F302B5D-7172-9F4F-8A57-3160ECF63221}"/>
  </bookViews>
  <sheets>
    <sheet name="Settings &amp; Checks" sheetId="42" r:id="rId1"/>
    <sheet name="Agency" sheetId="1" r:id="rId2"/>
    <sheet name="Feed Info" sheetId="45" r:id="rId3"/>
    <sheet name="Routes" sheetId="2" r:id="rId4"/>
    <sheet name="Stops" sheetId="4" r:id="rId5"/>
    <sheet name="Shapes" sheetId="3" r:id="rId6"/>
    <sheet name="Fare Rules" sheetId="13" r:id="rId7"/>
    <sheet name="Fare Attributes" sheetId="14" r:id="rId8"/>
    <sheet name="Calendar" sheetId="6" r:id="rId9"/>
    <sheet name="Calendar Dates" sheetId="41" r:id="rId10"/>
    <sheet name="20211009WeekdayWB" sheetId="30" r:id="rId11"/>
    <sheet name="20211009WeekdayEB" sheetId="31" r:id="rId12"/>
    <sheet name="20211009SatWB" sheetId="32" r:id="rId13"/>
    <sheet name="20211009SatEB" sheetId="33" r:id="rId14"/>
    <sheet name="20211009SunWB" sheetId="34" r:id="rId15"/>
    <sheet name="20211009SunEB" sheetId="35" r:id="rId16"/>
    <sheet name="2021-12-11-EB" sheetId="36" r:id="rId17"/>
    <sheet name="2021-12-11-WB" sheetId="37" r:id="rId18"/>
    <sheet name="2021-12-12-WB" sheetId="38" r:id="rId19"/>
    <sheet name="2021-12-13 WB" sheetId="39" r:id="rId20"/>
    <sheet name="2021-12-13 EB" sheetId="40" r:id="rId21"/>
  </sheets>
  <definedNames>
    <definedName name="Sheetnames">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65" i="40" l="1"/>
  <c r="T62" i="40"/>
  <c r="T25" i="40"/>
  <c r="T8" i="40"/>
  <c r="T5" i="40"/>
  <c r="U1" i="40"/>
  <c r="T1" i="40"/>
  <c r="S1" i="40"/>
  <c r="R1" i="40"/>
  <c r="Q1" i="40"/>
  <c r="P1" i="40"/>
  <c r="O1" i="40"/>
  <c r="N1" i="40"/>
  <c r="M1" i="40"/>
  <c r="L1" i="40"/>
  <c r="K1" i="40"/>
  <c r="J1" i="40"/>
  <c r="I1" i="40"/>
  <c r="H1" i="40"/>
  <c r="G1" i="40"/>
  <c r="F1" i="40"/>
  <c r="E1" i="40"/>
  <c r="D1" i="40"/>
  <c r="C1" i="40"/>
  <c r="B1" i="40"/>
  <c r="A1" i="40"/>
  <c r="T62" i="39"/>
  <c r="T61" i="39"/>
  <c r="T37" i="39"/>
  <c r="T4" i="39"/>
  <c r="S4" i="39"/>
  <c r="R4" i="39"/>
  <c r="P4" i="39"/>
  <c r="P3" i="39" s="1"/>
  <c r="O4" i="39"/>
  <c r="O3" i="39" s="1"/>
  <c r="N4" i="39"/>
  <c r="M4" i="39"/>
  <c r="L4" i="39"/>
  <c r="L3" i="39" s="1"/>
  <c r="K4" i="39"/>
  <c r="K3" i="39" s="1"/>
  <c r="J4" i="39"/>
  <c r="J3" i="39" s="1"/>
  <c r="I4" i="39"/>
  <c r="H4" i="39"/>
  <c r="H3" i="39" s="1"/>
  <c r="G4" i="39"/>
  <c r="G3" i="39" s="1"/>
  <c r="N3" i="39"/>
  <c r="M3" i="39"/>
  <c r="I3" i="39"/>
  <c r="U1" i="39"/>
  <c r="T1" i="39"/>
  <c r="S1" i="39"/>
  <c r="R1" i="39"/>
  <c r="Q1" i="39"/>
  <c r="P1" i="39"/>
  <c r="O1" i="39"/>
  <c r="N1" i="39"/>
  <c r="M1" i="39"/>
  <c r="L1" i="39"/>
  <c r="K1" i="39"/>
  <c r="J1" i="39"/>
  <c r="I1" i="39"/>
  <c r="H1" i="39"/>
  <c r="G1" i="39"/>
  <c r="F1" i="39"/>
  <c r="E1" i="39"/>
  <c r="D1" i="39"/>
  <c r="C1" i="39"/>
  <c r="B1" i="39"/>
  <c r="A1" i="39"/>
  <c r="H10" i="38"/>
  <c r="I10" i="38" s="1"/>
  <c r="J10" i="38" s="1"/>
  <c r="K10" i="38" s="1"/>
  <c r="L10" i="38" s="1"/>
  <c r="M10" i="38" s="1"/>
  <c r="N10" i="38" s="1"/>
  <c r="O10" i="38" s="1"/>
  <c r="P10" i="38" s="1"/>
  <c r="Q10" i="38" s="1"/>
  <c r="R10" i="38" s="1"/>
  <c r="S10" i="38" s="1"/>
  <c r="T9" i="38"/>
  <c r="T8" i="38"/>
  <c r="O8" i="38"/>
  <c r="G8" i="38"/>
  <c r="T7" i="38"/>
  <c r="S7" i="38"/>
  <c r="S8" i="38" s="1"/>
  <c r="R7" i="38"/>
  <c r="R8" i="38" s="1"/>
  <c r="Q7" i="38"/>
  <c r="Q8" i="38" s="1"/>
  <c r="P7" i="38"/>
  <c r="P8" i="38" s="1"/>
  <c r="O7" i="38"/>
  <c r="N7" i="38"/>
  <c r="N8" i="38" s="1"/>
  <c r="M7" i="38"/>
  <c r="M8" i="38" s="1"/>
  <c r="L7" i="38"/>
  <c r="L8" i="38" s="1"/>
  <c r="K7" i="38"/>
  <c r="K8" i="38" s="1"/>
  <c r="J7" i="38"/>
  <c r="J8" i="38" s="1"/>
  <c r="I7" i="38"/>
  <c r="I8" i="38" s="1"/>
  <c r="H7" i="38"/>
  <c r="H8" i="38" s="1"/>
  <c r="G7" i="38"/>
  <c r="T6" i="38"/>
  <c r="T4" i="38"/>
  <c r="U1" i="38"/>
  <c r="T1" i="38"/>
  <c r="S1" i="38"/>
  <c r="R1" i="38"/>
  <c r="Q1" i="38"/>
  <c r="P1" i="38"/>
  <c r="O1" i="38"/>
  <c r="N1" i="38"/>
  <c r="M1" i="38"/>
  <c r="L1" i="38"/>
  <c r="K1" i="38"/>
  <c r="J1" i="38"/>
  <c r="I1" i="38"/>
  <c r="H1" i="38"/>
  <c r="G1" i="38"/>
  <c r="F1" i="38"/>
  <c r="E1" i="38"/>
  <c r="D1" i="38"/>
  <c r="C1" i="38"/>
  <c r="B1" i="38"/>
  <c r="A1" i="38"/>
  <c r="T10" i="37"/>
  <c r="T9" i="37"/>
  <c r="T4" i="37"/>
  <c r="U1" i="37"/>
  <c r="T1" i="37"/>
  <c r="S1" i="37"/>
  <c r="R1" i="37"/>
  <c r="Q1" i="37"/>
  <c r="P1" i="37"/>
  <c r="O1" i="37"/>
  <c r="N1" i="37"/>
  <c r="M1" i="37"/>
  <c r="L1" i="37"/>
  <c r="K1" i="37"/>
  <c r="J1" i="37"/>
  <c r="I1" i="37"/>
  <c r="H1" i="37"/>
  <c r="G1" i="37"/>
  <c r="F1" i="37"/>
  <c r="E1" i="37"/>
  <c r="D1" i="37"/>
  <c r="C1" i="37"/>
  <c r="B1" i="37"/>
  <c r="A1" i="37"/>
  <c r="T13" i="36"/>
  <c r="T12" i="36"/>
  <c r="T10" i="36"/>
  <c r="S7" i="36"/>
  <c r="S8" i="36" s="1"/>
  <c r="S9" i="36" s="1"/>
  <c r="S10" i="36" s="1"/>
  <c r="S11" i="36" s="1"/>
  <c r="S12" i="36" s="1"/>
  <c r="R7" i="36"/>
  <c r="R8" i="36" s="1"/>
  <c r="R9" i="36" s="1"/>
  <c r="R10" i="36" s="1"/>
  <c r="R11" i="36" s="1"/>
  <c r="R12" i="36" s="1"/>
  <c r="Q7" i="36"/>
  <c r="Q8" i="36" s="1"/>
  <c r="Q9" i="36" s="1"/>
  <c r="Q10" i="36" s="1"/>
  <c r="Q11" i="36" s="1"/>
  <c r="Q12" i="36" s="1"/>
  <c r="P7" i="36"/>
  <c r="P8" i="36" s="1"/>
  <c r="P9" i="36" s="1"/>
  <c r="P10" i="36" s="1"/>
  <c r="P11" i="36" s="1"/>
  <c r="P12" i="36" s="1"/>
  <c r="O7" i="36"/>
  <c r="O8" i="36" s="1"/>
  <c r="O9" i="36" s="1"/>
  <c r="O10" i="36" s="1"/>
  <c r="O11" i="36" s="1"/>
  <c r="O12" i="36" s="1"/>
  <c r="N7" i="36"/>
  <c r="N8" i="36" s="1"/>
  <c r="N9" i="36" s="1"/>
  <c r="N10" i="36" s="1"/>
  <c r="N11" i="36" s="1"/>
  <c r="N12" i="36" s="1"/>
  <c r="M7" i="36"/>
  <c r="M8" i="36" s="1"/>
  <c r="M9" i="36" s="1"/>
  <c r="M10" i="36" s="1"/>
  <c r="M11" i="36" s="1"/>
  <c r="M12" i="36" s="1"/>
  <c r="L7" i="36"/>
  <c r="L8" i="36" s="1"/>
  <c r="L9" i="36" s="1"/>
  <c r="L10" i="36" s="1"/>
  <c r="L11" i="36" s="1"/>
  <c r="L12" i="36" s="1"/>
  <c r="K7" i="36"/>
  <c r="K8" i="36" s="1"/>
  <c r="K9" i="36" s="1"/>
  <c r="K10" i="36" s="1"/>
  <c r="K11" i="36" s="1"/>
  <c r="K12" i="36" s="1"/>
  <c r="J7" i="36"/>
  <c r="J8" i="36" s="1"/>
  <c r="J9" i="36" s="1"/>
  <c r="J10" i="36" s="1"/>
  <c r="J11" i="36" s="1"/>
  <c r="J12" i="36" s="1"/>
  <c r="I7" i="36"/>
  <c r="I8" i="36" s="1"/>
  <c r="I9" i="36" s="1"/>
  <c r="I10" i="36" s="1"/>
  <c r="I11" i="36" s="1"/>
  <c r="I12" i="36" s="1"/>
  <c r="H7" i="36"/>
  <c r="H8" i="36" s="1"/>
  <c r="H9" i="36" s="1"/>
  <c r="H10" i="36" s="1"/>
  <c r="H11" i="36" s="1"/>
  <c r="H12" i="36" s="1"/>
  <c r="G7" i="36"/>
  <c r="G8" i="36" s="1"/>
  <c r="G9" i="36" s="1"/>
  <c r="G10" i="36" s="1"/>
  <c r="G11" i="36" s="1"/>
  <c r="G12" i="36" s="1"/>
  <c r="T5" i="36"/>
  <c r="U1" i="36"/>
  <c r="T1" i="36"/>
  <c r="S1" i="36"/>
  <c r="R1" i="36"/>
  <c r="Q1" i="36"/>
  <c r="P1" i="36"/>
  <c r="O1" i="36"/>
  <c r="N1" i="36"/>
  <c r="M1" i="36"/>
  <c r="L1" i="36"/>
  <c r="K1" i="36"/>
  <c r="J1" i="36"/>
  <c r="I1" i="36"/>
  <c r="H1" i="36"/>
  <c r="G1" i="36"/>
  <c r="F1" i="36"/>
  <c r="E1" i="36"/>
  <c r="D1" i="36"/>
  <c r="C1" i="36"/>
  <c r="B1" i="36"/>
  <c r="A1" i="36"/>
  <c r="T6" i="35"/>
  <c r="T4" i="35"/>
  <c r="U1" i="35"/>
  <c r="T1" i="35"/>
  <c r="S1" i="35"/>
  <c r="R1" i="35"/>
  <c r="Q1" i="35"/>
  <c r="P1" i="35"/>
  <c r="O1" i="35"/>
  <c r="N1" i="35"/>
  <c r="M1" i="35"/>
  <c r="L1" i="35"/>
  <c r="K1" i="35"/>
  <c r="J1" i="35"/>
  <c r="I1" i="35"/>
  <c r="H1" i="35"/>
  <c r="G1" i="35"/>
  <c r="F1" i="35"/>
  <c r="E1" i="35"/>
  <c r="D1" i="35"/>
  <c r="C1" i="35"/>
  <c r="B1" i="35"/>
  <c r="A1" i="35"/>
  <c r="T5" i="34"/>
  <c r="T3" i="34"/>
  <c r="U1" i="34"/>
  <c r="T1" i="34"/>
  <c r="S1" i="34"/>
  <c r="R1" i="34"/>
  <c r="Q1" i="34"/>
  <c r="P1" i="34"/>
  <c r="O1" i="34"/>
  <c r="N1" i="34"/>
  <c r="M1" i="34"/>
  <c r="L1" i="34"/>
  <c r="K1" i="34"/>
  <c r="J1" i="34"/>
  <c r="I1" i="34"/>
  <c r="H1" i="34"/>
  <c r="G1" i="34"/>
  <c r="F1" i="34"/>
  <c r="E1" i="34"/>
  <c r="D1" i="34"/>
  <c r="C1" i="34"/>
  <c r="B1" i="34"/>
  <c r="A1" i="34"/>
  <c r="T8" i="33"/>
  <c r="T7" i="33"/>
  <c r="M7" i="33"/>
  <c r="T6" i="33"/>
  <c r="S6" i="33"/>
  <c r="S7" i="33" s="1"/>
  <c r="R6" i="33"/>
  <c r="R7" i="33" s="1"/>
  <c r="Q6" i="33"/>
  <c r="Q7" i="33" s="1"/>
  <c r="P6" i="33"/>
  <c r="P7" i="33" s="1"/>
  <c r="O6" i="33"/>
  <c r="O7" i="33" s="1"/>
  <c r="N6" i="33"/>
  <c r="N7" i="33" s="1"/>
  <c r="M6" i="33"/>
  <c r="L6" i="33"/>
  <c r="L7" i="33" s="1"/>
  <c r="K6" i="33"/>
  <c r="K7" i="33" s="1"/>
  <c r="J6" i="33"/>
  <c r="J7" i="33" s="1"/>
  <c r="I6" i="33"/>
  <c r="I7" i="33" s="1"/>
  <c r="H6" i="33"/>
  <c r="H7" i="33" s="1"/>
  <c r="G6" i="33"/>
  <c r="G7" i="33" s="1"/>
  <c r="T4" i="33"/>
  <c r="U1" i="33"/>
  <c r="T1" i="33"/>
  <c r="S1" i="33"/>
  <c r="R1" i="33"/>
  <c r="Q1" i="33"/>
  <c r="P1" i="33"/>
  <c r="O1" i="33"/>
  <c r="N1" i="33"/>
  <c r="M1" i="33"/>
  <c r="L1" i="33"/>
  <c r="K1" i="33"/>
  <c r="J1" i="33"/>
  <c r="I1" i="33"/>
  <c r="H1" i="33"/>
  <c r="G1" i="33"/>
  <c r="F1" i="33"/>
  <c r="E1" i="33"/>
  <c r="D1" i="33"/>
  <c r="C1" i="33"/>
  <c r="B1" i="33"/>
  <c r="A1" i="33"/>
  <c r="T8" i="32"/>
  <c r="T3" i="32"/>
  <c r="U1" i="32"/>
  <c r="T1" i="32"/>
  <c r="S1" i="32"/>
  <c r="R1" i="32"/>
  <c r="Q1" i="32"/>
  <c r="P1" i="32"/>
  <c r="O1" i="32"/>
  <c r="N1" i="32"/>
  <c r="M1" i="32"/>
  <c r="L1" i="32"/>
  <c r="K1" i="32"/>
  <c r="J1" i="32"/>
  <c r="I1" i="32"/>
  <c r="H1" i="32"/>
  <c r="G1" i="32"/>
  <c r="F1" i="32"/>
  <c r="E1" i="32"/>
  <c r="D1" i="32"/>
  <c r="C1" i="32"/>
  <c r="B1" i="32"/>
  <c r="A1" i="32"/>
  <c r="T64" i="31"/>
  <c r="T61" i="31"/>
  <c r="T24" i="31"/>
  <c r="T7" i="31"/>
  <c r="T4" i="31"/>
  <c r="U1" i="31"/>
  <c r="T1" i="31"/>
  <c r="S1" i="31"/>
  <c r="R1" i="31"/>
  <c r="Q1" i="31"/>
  <c r="P1" i="31"/>
  <c r="O1" i="31"/>
  <c r="N1" i="31"/>
  <c r="M1" i="31"/>
  <c r="L1" i="31"/>
  <c r="K1" i="31"/>
  <c r="J1" i="31"/>
  <c r="I1" i="31"/>
  <c r="H1" i="31"/>
  <c r="G1" i="31"/>
  <c r="F1" i="31"/>
  <c r="E1" i="31"/>
  <c r="D1" i="31"/>
  <c r="C1" i="31"/>
  <c r="B1" i="31"/>
  <c r="A1" i="31"/>
  <c r="T61" i="30"/>
  <c r="T60" i="30"/>
  <c r="T36" i="30"/>
  <c r="T3" i="30"/>
  <c r="U1" i="30"/>
  <c r="T1" i="30"/>
  <c r="S1" i="30"/>
  <c r="R1" i="30"/>
  <c r="Q1" i="30"/>
  <c r="P1" i="30"/>
  <c r="O1" i="30"/>
  <c r="N1" i="30"/>
  <c r="M1" i="30"/>
  <c r="L1" i="30"/>
  <c r="K1" i="30"/>
  <c r="J1" i="30"/>
  <c r="I1" i="30"/>
  <c r="H1" i="30"/>
  <c r="G1" i="30"/>
  <c r="F1" i="30"/>
  <c r="E1" i="30"/>
  <c r="D1" i="30"/>
  <c r="C1" i="30"/>
  <c r="B1" i="30"/>
  <c r="A1" i="30"/>
  <c r="A4" i="42" a="1"/>
  <c r="A5" i="42" a="1"/>
  <c r="A7" i="42" a="1"/>
  <c r="A9" i="42" a="1"/>
  <c r="A11" i="42" a="1"/>
  <c r="A13" i="42" a="1"/>
  <c r="A15" i="42" a="1"/>
  <c r="A17" i="42" a="1"/>
  <c r="A19" i="42" a="1"/>
  <c r="A21" i="42" a="1"/>
  <c r="A23" i="42" a="1"/>
  <c r="A25" i="42" a="1"/>
  <c r="A27" i="42" a="1"/>
  <c r="A29" i="42" a="1"/>
  <c r="A31" i="42" a="1"/>
  <c r="A33" i="42" a="1"/>
  <c r="A35" i="42" a="1"/>
  <c r="A37" i="42" a="1"/>
  <c r="A39" i="42" a="1"/>
  <c r="A41" i="42" a="1"/>
  <c r="A43" i="42" a="1"/>
  <c r="A45" i="42" a="1"/>
  <c r="A47" i="42" a="1"/>
  <c r="A49" i="42" a="1"/>
  <c r="A51" i="42" a="1"/>
  <c r="A53" i="42" a="1"/>
  <c r="A57" i="42" a="1"/>
  <c r="A59" i="42" a="1"/>
  <c r="A61" i="42" a="1"/>
  <c r="A6" i="42" a="1"/>
  <c r="A8" i="42" a="1"/>
  <c r="A10" i="42" a="1"/>
  <c r="A12" i="42" a="1"/>
  <c r="A14" i="42" a="1"/>
  <c r="A16" i="42" a="1"/>
  <c r="A18" i="42" a="1"/>
  <c r="A20" i="42" a="1"/>
  <c r="A22" i="42" a="1"/>
  <c r="A24" i="42" a="1"/>
  <c r="A26" i="42" a="1"/>
  <c r="A28" i="42" a="1"/>
  <c r="A30" i="42" a="1"/>
  <c r="A32" i="42" a="1"/>
  <c r="A34" i="42" a="1"/>
  <c r="A36" i="42" a="1"/>
  <c r="A38" i="42" a="1"/>
  <c r="A40" i="42" a="1"/>
  <c r="A42" i="42" a="1"/>
  <c r="A44" i="42" a="1"/>
  <c r="A46" i="42" a="1"/>
  <c r="A48" i="42" a="1"/>
  <c r="A50" i="42" a="1"/>
  <c r="A52" i="42" a="1"/>
  <c r="A54" i="42" a="1"/>
  <c r="A56" i="42" a="1"/>
  <c r="A58" i="42" a="1"/>
  <c r="A60" i="42" a="1"/>
  <c r="A62" i="42" a="1"/>
  <c r="A55" i="42" a="1"/>
  <c r="A4" i="42" l="1"/>
  <c r="B4" i="42" s="1"/>
  <c r="A55" i="42"/>
  <c r="B55" i="42" s="1"/>
  <c r="A62" i="42"/>
  <c r="B62" i="42" s="1"/>
  <c r="A60" i="42"/>
  <c r="B60" i="42" s="1"/>
  <c r="A58" i="42"/>
  <c r="B58" i="42" s="1"/>
  <c r="A56" i="42"/>
  <c r="B56" i="42" s="1"/>
  <c r="A54" i="42"/>
  <c r="B54" i="42" s="1"/>
  <c r="A52" i="42"/>
  <c r="B52" i="42" s="1"/>
  <c r="A50" i="42"/>
  <c r="B50" i="42" s="1"/>
  <c r="A48" i="42"/>
  <c r="B48" i="42" s="1"/>
  <c r="A46" i="42"/>
  <c r="B46" i="42" s="1"/>
  <c r="A44" i="42"/>
  <c r="B44" i="42" s="1"/>
  <c r="A42" i="42"/>
  <c r="B42" i="42" s="1"/>
  <c r="A40" i="42"/>
  <c r="B40" i="42" s="1"/>
  <c r="A38" i="42"/>
  <c r="B38" i="42" s="1"/>
  <c r="A36" i="42"/>
  <c r="B36" i="42" s="1"/>
  <c r="A34" i="42"/>
  <c r="B34" i="42" s="1"/>
  <c r="A32" i="42"/>
  <c r="B32" i="42" s="1"/>
  <c r="A30" i="42"/>
  <c r="B30" i="42" s="1"/>
  <c r="A28" i="42"/>
  <c r="B28" i="42" s="1"/>
  <c r="A26" i="42"/>
  <c r="B26" i="42" s="1"/>
  <c r="A24" i="42"/>
  <c r="B24" i="42" s="1"/>
  <c r="A22" i="42"/>
  <c r="B22" i="42" s="1"/>
  <c r="A20" i="42"/>
  <c r="B20" i="42" s="1"/>
  <c r="A18" i="42"/>
  <c r="B18" i="42" s="1"/>
  <c r="A16" i="42"/>
  <c r="B16" i="42" s="1"/>
  <c r="A14" i="42"/>
  <c r="B14" i="42" s="1"/>
  <c r="A12" i="42"/>
  <c r="B12" i="42" s="1"/>
  <c r="A10" i="42"/>
  <c r="B10" i="42" s="1"/>
  <c r="A8" i="42"/>
  <c r="B8" i="42" s="1"/>
  <c r="A6" i="42"/>
  <c r="B6" i="42" s="1"/>
  <c r="A61" i="42"/>
  <c r="B61" i="42" s="1"/>
  <c r="A59" i="42"/>
  <c r="B59" i="42" s="1"/>
  <c r="A57" i="42"/>
  <c r="B57" i="42" s="1"/>
  <c r="A53" i="42"/>
  <c r="B53" i="42" s="1"/>
  <c r="A51" i="42"/>
  <c r="B51" i="42" s="1"/>
  <c r="A49" i="42"/>
  <c r="B49" i="42" s="1"/>
  <c r="A47" i="42"/>
  <c r="B47" i="42" s="1"/>
  <c r="A45" i="42"/>
  <c r="B45" i="42" s="1"/>
  <c r="A43" i="42"/>
  <c r="B43" i="42" s="1"/>
  <c r="A41" i="42"/>
  <c r="B41" i="42" s="1"/>
  <c r="A39" i="42"/>
  <c r="B39" i="42" s="1"/>
  <c r="A37" i="42"/>
  <c r="B37" i="42" s="1"/>
  <c r="A35" i="42"/>
  <c r="B35" i="42" s="1"/>
  <c r="A33" i="42"/>
  <c r="B33" i="42" s="1"/>
  <c r="A31" i="42"/>
  <c r="B31" i="42" s="1"/>
  <c r="A29" i="42"/>
  <c r="B29" i="42" s="1"/>
  <c r="A27" i="42"/>
  <c r="B27" i="42" s="1"/>
  <c r="A25" i="42"/>
  <c r="B25" i="42" s="1"/>
  <c r="A23" i="42"/>
  <c r="B23" i="42" s="1"/>
  <c r="A21" i="42"/>
  <c r="B21" i="42" s="1"/>
  <c r="A19" i="42"/>
  <c r="B19" i="42" s="1"/>
  <c r="A17" i="42"/>
  <c r="B17" i="42" s="1"/>
  <c r="A15" i="42"/>
  <c r="B15" i="42" s="1"/>
  <c r="A13" i="42"/>
  <c r="B13" i="42" s="1"/>
  <c r="A11" i="42"/>
  <c r="B11" i="42" s="1"/>
  <c r="A9" i="42"/>
  <c r="B9" i="42" s="1"/>
  <c r="A7" i="42"/>
  <c r="B7" i="42" s="1"/>
  <c r="A5" i="42"/>
  <c r="B5" i="4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Kessler</author>
  </authors>
  <commentList>
    <comment ref="A1" authorId="0" shapeId="0" xr:uid="{03DB5CF8-F025-9146-B869-877D611FA7C5}">
      <text>
        <r>
          <rPr>
            <b/>
            <sz val="10"/>
            <color rgb="FF000000"/>
            <rFont val="Tahoma"/>
            <family val="2"/>
          </rPr>
          <t>Jeff Kessler:</t>
        </r>
        <r>
          <rPr>
            <sz val="10"/>
            <color rgb="FF000000"/>
            <rFont val="Tahoma"/>
            <family val="2"/>
          </rPr>
          <t xml:space="preserve">
</t>
        </r>
        <r>
          <rPr>
            <sz val="10"/>
            <color rgb="FF000000"/>
            <rFont val="Tahoma"/>
            <family val="2"/>
          </rPr>
          <t>Name of the agency operating the route (must match an agency_id in the Agency tab).</t>
        </r>
      </text>
    </comment>
    <comment ref="H1" authorId="0" shapeId="0" xr:uid="{E0AD2B4E-BEE1-684F-93F7-A5473566EF1D}">
      <text>
        <r>
          <rPr>
            <b/>
            <sz val="10"/>
            <color rgb="FF000000"/>
            <rFont val="Tahoma"/>
            <family val="2"/>
          </rPr>
          <t>Jeff Kessler:</t>
        </r>
        <r>
          <rPr>
            <sz val="10"/>
            <color rgb="FF000000"/>
            <rFont val="Tahoma"/>
            <family val="2"/>
          </rPr>
          <t xml:space="preserve">
</t>
        </r>
        <r>
          <rPr>
            <sz val="10"/>
            <color rgb="FF000000"/>
            <rFont val="Tahoma"/>
            <family val="2"/>
          </rPr>
          <t>Hex code of the line's color (see https://www.google.com/search?q=hex+color+picker)</t>
        </r>
      </text>
    </comment>
    <comment ref="I1" authorId="0" shapeId="0" xr:uid="{7304B3FF-D5B6-1E4B-90ED-FA799DAA92F5}">
      <text>
        <r>
          <rPr>
            <b/>
            <sz val="10"/>
            <color rgb="FF000000"/>
            <rFont val="Tahoma"/>
            <family val="2"/>
          </rPr>
          <t>Jeff Kessler:</t>
        </r>
        <r>
          <rPr>
            <sz val="10"/>
            <color rgb="FF000000"/>
            <rFont val="Tahoma"/>
            <family val="2"/>
          </rPr>
          <t xml:space="preserve">
</t>
        </r>
        <r>
          <rPr>
            <sz val="10"/>
            <color rgb="FF000000"/>
            <rFont val="Tahoma"/>
            <family val="2"/>
          </rPr>
          <t xml:space="preserve">Hex code of the text to use atop the route color. Should have good contrast; typically FFFFFF for White or 000000 for Black. (See https://www.google.com/search?q=hex+color+picker)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 Kessler</author>
  </authors>
  <commentList>
    <comment ref="G1" authorId="0" shapeId="0" xr:uid="{9EDFAA4F-C415-8943-9212-C593F37D7739}">
      <text>
        <r>
          <rPr>
            <b/>
            <sz val="10"/>
            <color rgb="FF000000"/>
            <rFont val="Tahoma"/>
            <family val="2"/>
          </rPr>
          <t>Jeff Kessler:</t>
        </r>
        <r>
          <rPr>
            <sz val="10"/>
            <color rgb="FF000000"/>
            <rFont val="Tahoma"/>
            <family val="2"/>
          </rPr>
          <t xml:space="preserve">
</t>
        </r>
        <r>
          <rPr>
            <sz val="10"/>
            <color rgb="FF000000"/>
            <rFont val="Tahoma"/>
            <family val="2"/>
          </rPr>
          <t>Name of the station's fare zone (defined in Fare Rules)</t>
        </r>
      </text>
    </comment>
    <comment ref="L1" authorId="0" shapeId="0" xr:uid="{93A935C3-3172-734F-8E2F-28D54634E1F2}">
      <text>
        <r>
          <rPr>
            <b/>
            <sz val="10"/>
            <color rgb="FF000000"/>
            <rFont val="Tahoma"/>
            <family val="2"/>
          </rPr>
          <t>Jeff Kessler:</t>
        </r>
        <r>
          <rPr>
            <sz val="10"/>
            <color rgb="FF000000"/>
            <rFont val="Tahoma"/>
            <family val="2"/>
          </rPr>
          <t xml:space="preserve">
</t>
        </r>
        <r>
          <rPr>
            <sz val="10"/>
            <color rgb="FF000000"/>
            <rFont val="Tahoma"/>
            <family val="2"/>
          </rPr>
          <t xml:space="preserve">1 = Accessible
</t>
        </r>
        <r>
          <rPr>
            <sz val="10"/>
            <color rgb="FF000000"/>
            <rFont val="Tahoma"/>
            <family val="2"/>
          </rPr>
          <t>2 = Not Accessible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Jeff Kessler</author>
  </authors>
  <commentList>
    <comment ref="C1" authorId="0" shapeId="0" xr:uid="{CEEDE8EC-DD07-2042-B30A-AF508E2D9D32}">
      <text>
        <r>
          <rPr>
            <b/>
            <sz val="10"/>
            <color rgb="FF000000"/>
            <rFont val="Tahoma"/>
            <family val="2"/>
          </rPr>
          <t>Jeff Kessler:</t>
        </r>
        <r>
          <rPr>
            <sz val="10"/>
            <color rgb="FF000000"/>
            <rFont val="Tahoma"/>
            <family val="2"/>
          </rPr>
          <t xml:space="preserve">
</t>
        </r>
        <r>
          <rPr>
            <sz val="10"/>
            <color rgb="FF000000"/>
            <rFont val="Tahoma"/>
            <family val="2"/>
          </rPr>
          <t xml:space="preserve">1 = Add this schedule on the listed date
</t>
        </r>
        <r>
          <rPr>
            <sz val="10"/>
            <color rgb="FF000000"/>
            <rFont val="Tahoma"/>
            <family val="2"/>
          </rPr>
          <t xml:space="preserve">2 = Remove this schedule on the listed date
</t>
        </r>
        <r>
          <rPr>
            <sz val="10"/>
            <color rgb="FF000000"/>
            <rFont val="Tahoma"/>
            <family val="2"/>
          </rPr>
          <t>3 = Add this schedule on the listed date and disable all other schedules not listed in this sheet on the given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<sst xmlns="http://schemas.openxmlformats.org/spreadsheetml/2006/main" count="1773" uniqueCount="164">
  <si>
    <t>agency_id</t>
  </si>
  <si>
    <t>agency_name</t>
  </si>
  <si>
    <t>agency_url</t>
  </si>
  <si>
    <t>agency_timezone</t>
  </si>
  <si>
    <t>agency_lang</t>
  </si>
  <si>
    <t>agency_phone</t>
  </si>
  <si>
    <t>agency_fare_url</t>
  </si>
  <si>
    <t>agency_email</t>
  </si>
  <si>
    <t>PATCO</t>
  </si>
  <si>
    <t>http://www.ridepatco.org/?utm_source=AddTransit&amp;utm_medium=GTFS</t>
  </si>
  <si>
    <t>America/New_York</t>
  </si>
  <si>
    <t>en</t>
  </si>
  <si>
    <t>856/772-6900</t>
  </si>
  <si>
    <t>http://www.ridepatco.org/schedules/fares.html?utm_source=AddTransit&amp;utm_medium=GTFS</t>
  </si>
  <si>
    <t>route_id</t>
  </si>
  <si>
    <t>route_short_name</t>
  </si>
  <si>
    <t>route_long_name</t>
  </si>
  <si>
    <t>route_desc</t>
  </si>
  <si>
    <t>route_type</t>
  </si>
  <si>
    <t>route_url</t>
  </si>
  <si>
    <t>route_color</t>
  </si>
  <si>
    <t>route_text_color</t>
  </si>
  <si>
    <t>BC0035</t>
  </si>
  <si>
    <t>FFFFFF</t>
  </si>
  <si>
    <t>shape_id</t>
  </si>
  <si>
    <t>shape_pt_lat</t>
  </si>
  <si>
    <t>shape_pt_lon</t>
  </si>
  <si>
    <t>shape_pt_sequence</t>
  </si>
  <si>
    <t>shape_dist_traveled</t>
  </si>
  <si>
    <t>stop_id</t>
  </si>
  <si>
    <t>stop_code</t>
  </si>
  <si>
    <t>stop_name</t>
  </si>
  <si>
    <t>stop_desc</t>
  </si>
  <si>
    <t>stop_lat</t>
  </si>
  <si>
    <t>stop_lon</t>
  </si>
  <si>
    <t>zone_id</t>
  </si>
  <si>
    <t>stop_url</t>
  </si>
  <si>
    <t>location_type</t>
  </si>
  <si>
    <t>parent_station</t>
  </si>
  <si>
    <t>stop_timezone</t>
  </si>
  <si>
    <t>wheelchair_boarding</t>
  </si>
  <si>
    <t>Lindenwold</t>
  </si>
  <si>
    <t>http://www.ridepatco.org/stations/lindenwold.asp?utm_source=AddTransit&amp;utm_medium=GTFS</t>
  </si>
  <si>
    <t>8th and Market</t>
  </si>
  <si>
    <t>http://www.ridepatco.org/stations/8th.asp?utm_source=AddTransit&amp;utm_medium=GTFS</t>
  </si>
  <si>
    <t>9-10th and Locust</t>
  </si>
  <si>
    <t>http://www.ridepatco.org/stations/9th.asp?utm_source=AddTransit&amp;utm_medium=GTFS</t>
  </si>
  <si>
    <t>12-13th and Locust</t>
  </si>
  <si>
    <t>http://www.ridepatco.org/stations/12th.asp?utm_source=AddTransit&amp;utm_medium=GTFS</t>
  </si>
  <si>
    <t>15-16th and Locust</t>
  </si>
  <si>
    <t>http://www.ridepatco.org/stations/15th.asp?utm_source=AddTransit&amp;utm_medium=GTFS</t>
  </si>
  <si>
    <t>Ashland</t>
  </si>
  <si>
    <t>http://www.ridepatco.org/stations/ashland.asp?utm_source=AddTransit&amp;utm_medium=GTFS</t>
  </si>
  <si>
    <t>Woodcrest</t>
  </si>
  <si>
    <t>http://www.ridepatco.org/stations/woodcrest.asp?utm_source=AddTransit&amp;utm_medium=GTFS</t>
  </si>
  <si>
    <t>Haddonfield</t>
  </si>
  <si>
    <t>http://www.ridepatco.org/stations/haddonfield.asp?utm_source=AddTransit&amp;utm_medium=GTFS</t>
  </si>
  <si>
    <t>Westmont</t>
  </si>
  <si>
    <t>http://www.ridepatco.org/stations/westmont.asp?utm_source=AddTransit&amp;utm_medium=GTFS</t>
  </si>
  <si>
    <t>Collingswood</t>
  </si>
  <si>
    <t>http://www.ridepatco.org/stations/collingswood.asp?utm_source=AddTransit&amp;utm_medium=GTFS</t>
  </si>
  <si>
    <t>Ferry Avenue</t>
  </si>
  <si>
    <t>http://www.ridepatco.org/stations/ferryave.asp?utm_source=AddTransit&amp;utm_medium=GTFS</t>
  </si>
  <si>
    <t>Broadway</t>
  </si>
  <si>
    <t>http://www.ridepatco.org/stations/broadway.asp?utm_source=AddTransit&amp;utm_medium=GTFS</t>
  </si>
  <si>
    <t>City Hall</t>
  </si>
  <si>
    <t>http://www.ridepatco.org/stations/cityhall.asp?utm_source=AddTransit&amp;utm_medium=GTFS</t>
  </si>
  <si>
    <t>service_id</t>
  </si>
  <si>
    <t>monday</t>
  </si>
  <si>
    <t>tuesday</t>
  </si>
  <si>
    <t>wednesday</t>
  </si>
  <si>
    <t>thursday</t>
  </si>
  <si>
    <t>friday</t>
  </si>
  <si>
    <t>saturday</t>
  </si>
  <si>
    <t>sunday</t>
  </si>
  <si>
    <t>start_date</t>
  </si>
  <si>
    <t>end_date</t>
  </si>
  <si>
    <t>direction_id</t>
  </si>
  <si>
    <t>wheelchair_accessible</t>
  </si>
  <si>
    <t>bikes_allowed</t>
  </si>
  <si>
    <t>Philadelphia</t>
  </si>
  <si>
    <t>headsign</t>
  </si>
  <si>
    <t>Philadelphia Local</t>
  </si>
  <si>
    <t>Then Every</t>
  </si>
  <si>
    <t>Until</t>
  </si>
  <si>
    <t>16thToLDW</t>
  </si>
  <si>
    <t>WDCto16th</t>
  </si>
  <si>
    <t>LDWto16th</t>
  </si>
  <si>
    <t>Lindenwold Local</t>
  </si>
  <si>
    <t>fare_id</t>
  </si>
  <si>
    <t>origin_id</t>
  </si>
  <si>
    <t>destination_id</t>
  </si>
  <si>
    <t>contains_id</t>
  </si>
  <si>
    <t>price</t>
  </si>
  <si>
    <t>currency_type</t>
  </si>
  <si>
    <t>payment_method</t>
  </si>
  <si>
    <t>transfers</t>
  </si>
  <si>
    <t>transfer_duration</t>
  </si>
  <si>
    <t>USD</t>
  </si>
  <si>
    <t>PA</t>
  </si>
  <si>
    <t>Ferry</t>
  </si>
  <si>
    <t>Blue</t>
  </si>
  <si>
    <t>Red</t>
  </si>
  <si>
    <t>Green</t>
  </si>
  <si>
    <t>Camden</t>
  </si>
  <si>
    <t>Orange</t>
  </si>
  <si>
    <t>Brown</t>
  </si>
  <si>
    <t>Voorhees</t>
  </si>
  <si>
    <t>Cherry Hill</t>
  </si>
  <si>
    <t>Haddon Township</t>
  </si>
  <si>
    <t>PATCO Speedline</t>
  </si>
  <si>
    <t>PATCO Speedline between Philadelphia and Lindenwold, NJ</t>
  </si>
  <si>
    <t>date</t>
  </si>
  <si>
    <t>2021-12-11-EB</t>
  </si>
  <si>
    <t>2021-12-11-WB</t>
  </si>
  <si>
    <t>2021-12-12-WB</t>
  </si>
  <si>
    <t>2021-12-13 WB</t>
  </si>
  <si>
    <t>2021-12-13 EB</t>
  </si>
  <si>
    <t>exception_type</t>
  </si>
  <si>
    <t>Sheet Names</t>
  </si>
  <si>
    <t>20211009WeekdayWB</t>
  </si>
  <si>
    <t>20211009WeekdayEB</t>
  </si>
  <si>
    <t>20211009SatWB</t>
  </si>
  <si>
    <t>20211009SatEB</t>
  </si>
  <si>
    <t>20211009SunWB</t>
  </si>
  <si>
    <t>20211009SunEB</t>
  </si>
  <si>
    <t>DRPA</t>
  </si>
  <si>
    <t xml:space="preserve">Delaware River Port Authority </t>
  </si>
  <si>
    <t>CTHL</t>
  </si>
  <si>
    <t>ASHL</t>
  </si>
  <si>
    <t>8MKT</t>
  </si>
  <si>
    <t>9LCT</t>
  </si>
  <si>
    <t>BDWY</t>
  </si>
  <si>
    <t>FERY</t>
  </si>
  <si>
    <t>CLWD</t>
  </si>
  <si>
    <t>WSMT</t>
  </si>
  <si>
    <t>WDCR</t>
  </si>
  <si>
    <t>HDNF</t>
  </si>
  <si>
    <t>LDWL</t>
  </si>
  <si>
    <t>12LC</t>
  </si>
  <si>
    <t>16LC</t>
  </si>
  <si>
    <t>FKSQ</t>
  </si>
  <si>
    <t>Franklin Square</t>
  </si>
  <si>
    <t>feed_publisher_name</t>
  </si>
  <si>
    <t>feed_publisher_url</t>
  </si>
  <si>
    <t>feed_lang</t>
  </si>
  <si>
    <t>feed_version</t>
  </si>
  <si>
    <t>http://www.ridepatco.org/developers/PortAuthorityTransitCorporation.zip</t>
  </si>
  <si>
    <t>feed_contact_email</t>
  </si>
  <si>
    <t>EN</t>
  </si>
  <si>
    <t>Settings &amp; Checks</t>
  </si>
  <si>
    <t>Agency</t>
  </si>
  <si>
    <t>Feed Info</t>
  </si>
  <si>
    <t>Routes</t>
  </si>
  <si>
    <t>Stops</t>
  </si>
  <si>
    <t>Shapes</t>
  </si>
  <si>
    <t>Fare Rules</t>
  </si>
  <si>
    <t>Fare Attributes</t>
  </si>
  <si>
    <t>Calendar</t>
  </si>
  <si>
    <t>Calendar Dates</t>
  </si>
  <si>
    <t>Has calendar assignment?</t>
  </si>
  <si>
    <t>For information on how to use this template, please see readme.md in the excel2gtfs package folder.</t>
  </si>
  <si>
    <t>Non-Schedule Files</t>
  </si>
  <si>
    <t>Note: The table at left serves two purposes. (1) It provides a check to verify all schedule tabs have been assigned calendar assignments; (2) it allows the calendar and calendar dates tabs to highlight calendar assignments that don't match an actual schedule tab name.
If an items is highlighted but the assignment is valid, check that you clicked "Enable Macros" upon opening this file, and try pressing "Refresh All" on the Data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</si>
</sst>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8" x14ac:knownFonts="1">
    <font>
      <sz val="12"/>
      <color theme="1"/>
      <name val="Calibri"/>
      <family val="2"/>
      <scheme val="minor"/>
    </font>
    <font>
      <sz val="12"/>
      <color rgb="FF3F3F76"/>
      <name val="Calibri"/>
      <family val="2"/>
      <scheme val="minor"/>
    </font>
    <font>
      <b/>
      <sz val="12"/>
      <color rgb="FFFA7D00"/>
      <name val="Calibri"/>
      <family val="2"/>
      <scheme val="minor"/>
    </font>
    <font>
      <sz val="10"/>
      <color rgb="FF000000"/>
      <name val="Tahoma"/>
      <family val="2"/>
    </font>
    <font>
      <b/>
      <sz val="10"/>
      <color rgb="FF000000"/>
      <name val="Tahoma"/>
      <family val="2"/>
    </font>
    <font>
      <u/>
      <sz val="12"/>
      <color theme="10"/>
      <name val="Calibri"/>
      <family val="2"/>
      <scheme val="minor"/>
    </font>
    <font>
      <sz val="8"/>
      <name val="Calibri"/>
      <family val="2"/>
      <scheme val="minor"/>
    </font>
    <font>
      <b/>
      <sz val="26"/>
      <color theme="1"/>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rgb="FFFFFF00"/>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rgb="FF7F7F7F"/>
      </top>
      <bottom style="thin">
        <color rgb="FF7F7F7F"/>
      </bottom>
      <diagonal/>
    </border>
    <border>
      <left style="thin">
        <color rgb="FF7F7F7F"/>
      </left>
      <right/>
      <top style="thin">
        <color rgb="FF7F7F7F"/>
      </top>
      <bottom style="thin">
        <color rgb="FF7F7F7F"/>
      </bottom>
      <diagonal/>
    </border>
  </borders>
  <cellStyleXfs count="4">
    <xf numFmtId="0" fontId="0" fillId="0" borderId="0"/>
    <xf numFmtId="0" fontId="1" fillId="2" borderId="1" applyNumberFormat="0" applyAlignment="0" applyProtection="0"/>
    <xf numFmtId="0" fontId="2" fillId="3" borderId="1" applyNumberFormat="0" applyAlignment="0" applyProtection="0"/>
    <xf numFmtId="0" fontId="5" fillId="0" borderId="0" applyNumberFormat="0" applyFill="0" applyBorder="0" applyAlignment="0" applyProtection="0"/>
  </cellStyleXfs>
  <cellXfs count="16">
    <xf numFmtId="0" fontId="0" fillId="0" borderId="0" xfId="0"/>
    <xf numFmtId="21" fontId="0" fillId="0" borderId="0" xfId="0" applyNumberFormat="1"/>
    <xf numFmtId="0" fontId="1" fillId="2" borderId="1" xfId="1"/>
    <xf numFmtId="20" fontId="0" fillId="0" borderId="0" xfId="0" applyNumberFormat="1"/>
    <xf numFmtId="164" fontId="1" fillId="2" borderId="1" xfId="1" applyNumberFormat="1"/>
    <xf numFmtId="164" fontId="0" fillId="0" borderId="0" xfId="0" applyNumberFormat="1"/>
    <xf numFmtId="0" fontId="2" fillId="3" borderId="2" xfId="2" applyBorder="1" applyAlignment="1">
      <alignment textRotation="45"/>
    </xf>
    <xf numFmtId="164" fontId="2" fillId="3" borderId="2" xfId="2" applyNumberFormat="1" applyBorder="1" applyAlignment="1">
      <alignment textRotation="45"/>
    </xf>
    <xf numFmtId="14" fontId="0" fillId="0" borderId="0" xfId="0" applyNumberFormat="1"/>
    <xf numFmtId="16" fontId="0" fillId="0" borderId="0" xfId="0" applyNumberFormat="1"/>
    <xf numFmtId="0" fontId="1" fillId="2" borderId="3" xfId="1" applyBorder="1"/>
    <xf numFmtId="0" fontId="5" fillId="0" borderId="0" xfId="3"/>
    <xf numFmtId="0" fontId="0" fillId="0" borderId="0" xfId="0" applyFont="1"/>
    <xf numFmtId="0" fontId="7" fillId="4" borderId="0" xfId="0" applyFont="1" applyFill="1"/>
    <xf numFmtId="0" fontId="0" fillId="4" borderId="0" xfId="0" applyFill="1"/>
    <xf numFmtId="0" fontId="0" fillId="0" borderId="0" xfId="0" applyAlignment="1">
      <alignment horizontal="left" vertical="center" wrapText="1"/>
    </xf>
  </cellXfs>
  <cellStyles count="4">
    <cellStyle name="Calculation" xfId="2" builtinId="22"/>
    <cellStyle name="Hyperlink" xfId="3" builtinId="8"/>
    <cellStyle name="Input" xfId="1" builtinId="20"/>
    <cellStyle name="Normal" xfId="0" builtinId="0"/>
  </cellStyles>
  <dxfs count="8">
    <dxf>
      <numFmt numFmtId="0" formatCode="General"/>
    </dxf>
    <dxf>
      <font>
        <b val="0"/>
        <i val="0"/>
        <strike val="0"/>
        <condense val="0"/>
        <extend val="0"/>
        <outline val="0"/>
        <shadow val="0"/>
        <u val="none"/>
        <vertAlign val="baseline"/>
        <sz val="12"/>
        <color theme="1"/>
        <name val="Calibri"/>
        <family val="2"/>
        <scheme val="minor"/>
      </font>
    </dxf>
    <dxf>
      <font>
        <color rgb="FF9C0006"/>
      </font>
      <fill>
        <patternFill>
          <bgColor rgb="FFFFC7CE"/>
        </patternFill>
      </fill>
    </dxf>
    <dxf>
      <font>
        <color rgb="FF9C0006"/>
      </font>
      <fill>
        <patternFill>
          <bgColor rgb="FFFFC7CE"/>
        </patternFill>
      </fill>
    </dxf>
    <dxf>
      <font>
        <b/>
        <i val="0"/>
        <color rgb="FFC00000"/>
      </font>
    </dxf>
    <dxf>
      <font>
        <b/>
        <i val="0"/>
        <color rgb="FF00B050"/>
      </font>
    </dxf>
    <dxf>
      <font>
        <color rgb="FF9C0006"/>
      </font>
      <fill>
        <patternFill>
          <bgColor rgb="FFFFC7CE"/>
        </patternFill>
      </fill>
    </dxf>
    <dxf>
      <numFmt numFmtId="19" formatCode="m/d/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27BB428-5782-2044-ADFA-6CB83B6CF4CF}" name="Table9" displayName="Table9" ref="A3:C62" totalsRowShown="0" headerRowDxfId="1">
  <autoFilter ref="A3:C62" xr:uid="{427BB428-5782-2044-ADFA-6CB83B6CF4CF}"/>
  <tableColumns count="3">
    <tableColumn id="1" xr3:uid="{646DC874-E795-2542-B9AA-560AA83E6D93}" name="Sheet Names">
      <calculatedColumnFormula array="1">IFERROR(INDEX(MID(Sheetnames,FIND("]",Sheetnames)+1,255),ROWS($A$4:A4)),"")</calculatedColumnFormula>
    </tableColumn>
    <tableColumn id="2" xr3:uid="{CCDFC234-369D-0F4F-9B0C-5AA0FA129989}" name="Has calendar assignment?" dataDxfId="0">
      <calculatedColumnFormula>IF(Table9[[#This Row],[Sheet Names]]="","",IFERROR(MATCH(Table9[[#This Row],[Sheet Names]],Table9[Non-Schedule Files],0),0)+(IFERROR(MATCH(Table9[[#This Row],[Sheet Names]],Table8[service_id],0),0)+IFERROR(MATCH(Table9[[#This Row],[Sheet Names]],Table3[service_id],0),0))&gt;0)</calculatedColumnFormula>
    </tableColumn>
    <tableColumn id="3" xr3:uid="{012C273F-5B22-AE46-BB5E-C2BF129368A2}" name="Non-Schedule Fil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A14E39-FEB7-CB40-B03F-74589C8C4E75}" name="Table4" displayName="Table4" ref="A1:H2" totalsRowShown="0">
  <autoFilter ref="A1:H2" xr:uid="{6DA14E39-FEB7-CB40-B03F-74589C8C4E75}"/>
  <tableColumns count="8">
    <tableColumn id="1" xr3:uid="{A7248E45-8818-624A-9EB9-D1E4D5BDB649}" name="agency_id"/>
    <tableColumn id="2" xr3:uid="{5C5CC9C7-2025-754C-9724-DA1F95305E2C}" name="agency_name"/>
    <tableColumn id="3" xr3:uid="{D1B2E744-6912-8841-BAD7-20CC108DB4E6}" name="agency_url"/>
    <tableColumn id="4" xr3:uid="{C7BD36E4-5231-AC4A-8BB4-BC4DB28960EA}" name="agency_timezone"/>
    <tableColumn id="5" xr3:uid="{1E62CC12-CA45-D041-B819-E2AEFC725E7C}" name="agency_lang"/>
    <tableColumn id="6" xr3:uid="{270D5C0F-BAAB-704E-8E65-2D86CBCCAFE2}" name="agency_phone"/>
    <tableColumn id="7" xr3:uid="{02BBA8F2-F8A8-3D4A-9285-E156EC05F02C}" name="agency_fare_url"/>
    <tableColumn id="8" xr3:uid="{32EC9BA8-363F-8647-8748-57C611F19491}" name="agency_emai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1DB9135-E3DC-E343-B2B4-5852157ED47B}" name="Table10" displayName="Table10" ref="A1:E2" totalsRowShown="0">
  <autoFilter ref="A1:E2" xr:uid="{11DB9135-E3DC-E343-B2B4-5852157ED47B}"/>
  <tableColumns count="5">
    <tableColumn id="1" xr3:uid="{B0A244F7-F881-994D-9860-4DEAC344DDAA}" name="feed_publisher_name"/>
    <tableColumn id="2" xr3:uid="{CA9C8C6E-BC7D-0848-9B39-00B0C23C5770}" name="feed_publisher_url" dataCellStyle="Hyperlink"/>
    <tableColumn id="3" xr3:uid="{D06BD019-8571-CD4A-8ED2-3E3A2A2EFD46}" name="feed_lang"/>
    <tableColumn id="4" xr3:uid="{FD18C447-34EA-A944-8D41-A402D619A0B6}" name="feed_version"/>
    <tableColumn id="5" xr3:uid="{72ADEDB4-D956-B54A-A064-25C38102E180}" name="feed_contact_emai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8BDBCB6-438C-0B43-904D-5BE889FC77A3}" name="Table2" displayName="Table2" ref="A1:I2" totalsRowShown="0">
  <autoFilter ref="A1:I2" xr:uid="{88BDBCB6-438C-0B43-904D-5BE889FC77A3}"/>
  <tableColumns count="9">
    <tableColumn id="2" xr3:uid="{78D907CE-498F-D74C-967F-8C0F90643ADA}" name="agency_id"/>
    <tableColumn id="1" xr3:uid="{62488BB3-6E14-5D43-9158-3F3D447C9FC2}" name="route_id"/>
    <tableColumn id="3" xr3:uid="{A2688BE0-E23F-5A41-BBEA-37A08942BD54}" name="route_short_name"/>
    <tableColumn id="4" xr3:uid="{93DEC056-E0B5-F447-B2B1-AA6D8B8AA31E}" name="route_long_name"/>
    <tableColumn id="5" xr3:uid="{104F1A24-62B3-9E43-A947-CFA0C025955F}" name="route_desc"/>
    <tableColumn id="6" xr3:uid="{A9CC6A7E-2B35-9645-8B01-C50E5B14E35A}" name="route_type"/>
    <tableColumn id="7" xr3:uid="{1D3F36E1-CA85-274C-A9D0-F6CBF0E2BE43}" name="route_url"/>
    <tableColumn id="8" xr3:uid="{6475CAD1-CAB7-334B-A437-655D781517CB}" name="route_color"/>
    <tableColumn id="9" xr3:uid="{D66D9E0D-E9E3-D545-B298-339F83F803C7}" name="route_tex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CE6033-8FD1-FA46-8AC0-CB635FB971DF}" name="Table5" displayName="Table5" ref="A1:L15" totalsRowShown="0">
  <autoFilter ref="A1:L15" xr:uid="{71CE6033-8FD1-FA46-8AC0-CB635FB971DF}"/>
  <tableColumns count="12">
    <tableColumn id="1" xr3:uid="{21C321D7-8F1A-7A40-ADF3-1FF74C81E0E6}" name="stop_id"/>
    <tableColumn id="2" xr3:uid="{7C44D2AC-9F40-6248-A8AB-08CA41B9777F}" name="stop_code"/>
    <tableColumn id="3" xr3:uid="{4A284E2E-35AC-9842-8A43-68A4C8AF6E8F}" name="stop_name"/>
    <tableColumn id="4" xr3:uid="{D7DD5616-14F1-A549-ADBF-ADC8BC386CC0}" name="stop_desc"/>
    <tableColumn id="5" xr3:uid="{A0F50AEB-B538-CA4E-B93B-96DB26D90F06}" name="stop_lat"/>
    <tableColumn id="6" xr3:uid="{0B2F5726-2EB8-7944-84AF-32137B880676}" name="stop_lon"/>
    <tableColumn id="7" xr3:uid="{4D2AD693-E275-534A-8EBE-0C95630BBCDD}" name="zone_id"/>
    <tableColumn id="8" xr3:uid="{124475D3-CA74-8C44-82DB-D353D175A12B}" name="stop_url"/>
    <tableColumn id="9" xr3:uid="{6676C393-C825-F24B-8AEC-3A0C4DF19574}" name="location_type"/>
    <tableColumn id="10" xr3:uid="{F9A853A3-877F-BD4B-BAD9-15FA992E9B85}" name="parent_station"/>
    <tableColumn id="11" xr3:uid="{E901874C-2AF6-894D-95F3-2037A9668F8C}" name="stop_timezone"/>
    <tableColumn id="12" xr3:uid="{A1C7AD0A-021F-964A-AC28-1D0E7CE70FAB}" name="wheelchair_boarding"/>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C92B4C7-D2BA-B048-98FD-B7AD7251AEAE}" name="Table1" displayName="Table1" ref="A1:E391" totalsRowShown="0">
  <autoFilter ref="A1:E391" xr:uid="{FC92B4C7-D2BA-B048-98FD-B7AD7251AEAE}"/>
  <tableColumns count="5">
    <tableColumn id="1" xr3:uid="{7BD792E8-5ACC-6748-A3AD-30F864A827EB}" name="shape_id"/>
    <tableColumn id="2" xr3:uid="{ACC0C560-B5E8-1C4C-9628-E2928B2F1815}" name="shape_pt_lat"/>
    <tableColumn id="3" xr3:uid="{FB9AAB27-E283-2843-AC1A-BD592DC3E328}" name="shape_pt_lon"/>
    <tableColumn id="4" xr3:uid="{2D8FC18B-FC1B-B241-B20B-06D18A2CBD52}" name="shape_pt_sequence"/>
    <tableColumn id="5" xr3:uid="{57A386DC-B0AC-DD4D-9732-40145E4A58BB}" name="shape_dist_travele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670CF8-EB40-C949-BBF7-19527D73CD97}" name="Table6" displayName="Table6" ref="A1:E26" totalsRowShown="0">
  <autoFilter ref="A1:E26" xr:uid="{D2670CF8-EB40-C949-BBF7-19527D73CD97}"/>
  <tableColumns count="5">
    <tableColumn id="1" xr3:uid="{3327BC5F-A1DD-B940-BE1F-7DAC4FEA2D7A}" name="fare_id"/>
    <tableColumn id="2" xr3:uid="{96FB2004-719B-F741-86D4-1B18B3E0C066}" name="route_id"/>
    <tableColumn id="3" xr3:uid="{84DE5C42-9782-F846-9157-4F30D774FBAE}" name="origin_id"/>
    <tableColumn id="4" xr3:uid="{0143EB5C-F5B9-424B-9AEC-5C11DF04275F}" name="destination_id"/>
    <tableColumn id="5" xr3:uid="{46FD4D8A-5E1A-514A-A0AD-CC02A3699E84}" name="contains_id"/>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4161B5-0A6B-0E42-9C81-E845E845AE7B}" name="Table7" displayName="Table7" ref="A1:F6" totalsRowShown="0">
  <autoFilter ref="A1:F6" xr:uid="{704161B5-0A6B-0E42-9C81-E845E845AE7B}"/>
  <tableColumns count="6">
    <tableColumn id="1" xr3:uid="{52DD8B68-D5E9-8247-B001-9C5FACBAA718}" name="fare_id"/>
    <tableColumn id="2" xr3:uid="{13709D18-DDDB-6F4F-BDDC-A84BFA78814B}" name="price"/>
    <tableColumn id="3" xr3:uid="{128732B2-8405-7D46-9719-E6B2B5D30878}" name="currency_type"/>
    <tableColumn id="4" xr3:uid="{B0F36A50-134F-1142-9E2F-FAAB2930934D}" name="payment_method"/>
    <tableColumn id="5" xr3:uid="{4FEEF49B-5CEF-E449-9B8D-DC52C01CF96F}" name="transfers"/>
    <tableColumn id="6" xr3:uid="{4CD84467-0677-7642-8ED4-9975A4880D20}" name="transfer_durat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00A90C-E455-9A4F-9C23-7B7CBD27EBA7}" name="Table8" displayName="Table8" ref="A1:J7" totalsRowShown="0">
  <autoFilter ref="A1:J7" xr:uid="{D600A90C-E455-9A4F-9C23-7B7CBD27EBA7}"/>
  <tableColumns count="10">
    <tableColumn id="1" xr3:uid="{4B688435-A48E-2F4E-A688-3FC373AAB44D}" name="service_id"/>
    <tableColumn id="2" xr3:uid="{B7E674B9-0FAE-1843-8694-09B7C452DBF2}" name="monday"/>
    <tableColumn id="3" xr3:uid="{299900D5-5D6F-9E4E-A792-08D4B44106B8}" name="tuesday"/>
    <tableColumn id="4" xr3:uid="{C73F0401-1925-C24A-8958-DE607790F487}" name="wednesday"/>
    <tableColumn id="5" xr3:uid="{A0129DE5-4C09-0045-B365-7836C9F897BE}" name="thursday"/>
    <tableColumn id="6" xr3:uid="{7F0E1E1B-B29A-1C4A-87B3-2381994AB4A4}" name="friday"/>
    <tableColumn id="7" xr3:uid="{F63CBDC0-5858-2342-A7CD-DA6684DFA6C7}" name="saturday"/>
    <tableColumn id="8" xr3:uid="{318F58CB-8C3E-4A48-A683-6F4786C156ED}" name="sunday"/>
    <tableColumn id="9" xr3:uid="{AD39C54B-0BBA-0F47-9A32-15BD169027C7}" name="start_date"/>
    <tableColumn id="10" xr3:uid="{D2F131AD-9388-7D49-AEBE-C991347FA7A4}" name="end_dat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B8B831-4ACF-8948-8D5B-2CC2E4EA8197}" name="Table3" displayName="Table3" ref="A1:C6" totalsRowShown="0">
  <autoFilter ref="A1:C6" xr:uid="{F8B8B831-4ACF-8948-8D5B-2CC2E4EA8197}"/>
  <tableColumns count="3">
    <tableColumn id="1" xr3:uid="{6CA30954-BD40-6A46-BA98-5697D15B8F38}" name="service_id"/>
    <tableColumn id="2" xr3:uid="{8BCE6A3D-B9A6-9540-A3E9-74DDCF7B7191}" name="date" dataDxfId="7"/>
    <tableColumn id="3" xr3:uid="{5C065861-7BED-AC45-938A-E59046DA8966}" name="exception_typ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http://www.ridepatco.org/developers/PortAuthorityTransitCorporation.zip"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4.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5.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10.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19AD7-688A-ED46-9845-182BDC2FA21A}">
  <dimension ref="A1:I62"/>
  <sheetViews>
    <sheetView tabSelected="1" workbookViewId="0">
      <selection activeCell="E4" sqref="E4"/>
    </sheetView>
  </sheetViews>
  <sheetFormatPr baseColWidth="10" defaultRowHeight="16" x14ac:dyDescent="0.2"/>
  <cols>
    <col min="1" max="1" width="19.83203125" bestFit="1" customWidth="1"/>
    <col min="2" max="2" width="26.83203125" bestFit="1" customWidth="1"/>
    <col min="3" max="3" width="12.1640625" customWidth="1"/>
  </cols>
  <sheetData>
    <row r="1" spans="1:9" s="14" customFormat="1" ht="34" x14ac:dyDescent="0.4">
      <c r="A1" s="13" t="s">
        <v>161</v>
      </c>
    </row>
    <row r="3" spans="1:9" x14ac:dyDescent="0.2">
      <c r="A3" s="12" t="s">
        <v>119</v>
      </c>
      <c r="B3" s="12" t="s">
        <v>160</v>
      </c>
      <c r="C3" s="12" t="s">
        <v>162</v>
      </c>
    </row>
    <row r="4" spans="1:9" x14ac:dyDescent="0.2">
      <c r="A4" t="str" cm="1">
        <f t="array" aca="1" ref="A4" ca="1">IFERROR(INDEX(MID(Sheetnames,FIND("]",Sheetnames)+1,255),ROWS($A$4:A4)),"")</f>
        <v>Settings &amp; Checks</v>
      </c>
      <c r="B4" t="b">
        <f ca="1">IF(Table9[[#This Row],[Sheet Names]]="","",IFERROR(MATCH(Table9[[#This Row],[Sheet Names]],Table9[Non-Schedule Files],0),0)+(IFERROR(MATCH(Table9[[#This Row],[Sheet Names]],Table8[service_id],0),0)+IFERROR(MATCH(Table9[[#This Row],[Sheet Names]],Table3[service_id],0),0))&gt;0)</f>
        <v>1</v>
      </c>
      <c r="C4" t="s">
        <v>150</v>
      </c>
    </row>
    <row r="5" spans="1:9" ht="16" customHeight="1" x14ac:dyDescent="0.2">
      <c r="A5" t="str" cm="1">
        <f t="array" aca="1" ref="A5" ca="1">IFERROR(INDEX(MID(Sheetnames,FIND("]",Sheetnames)+1,255),ROWS($A$4:A5)),"")</f>
        <v>Agency</v>
      </c>
      <c r="B5" t="b">
        <f ca="1">IF(Table9[[#This Row],[Sheet Names]]="","",IFERROR(MATCH(Table9[[#This Row],[Sheet Names]],Table9[Non-Schedule Files],0),0)+(IFERROR(MATCH(Table9[[#This Row],[Sheet Names]],Table8[service_id],0),0)+IFERROR(MATCH(Table9[[#This Row],[Sheet Names]],Table3[service_id],0),0))&gt;0)</f>
        <v>1</v>
      </c>
      <c r="C5" t="s">
        <v>151</v>
      </c>
      <c r="E5" s="15" t="s">
        <v>163</v>
      </c>
      <c r="F5" s="15"/>
      <c r="G5" s="15"/>
      <c r="H5" s="15"/>
      <c r="I5" s="15"/>
    </row>
    <row r="6" spans="1:9" x14ac:dyDescent="0.2">
      <c r="A6" t="str" cm="1">
        <f t="array" aca="1" ref="A6" ca="1">IFERROR(INDEX(MID(Sheetnames,FIND("]",Sheetnames)+1,255),ROWS($A$4:A6)),"")</f>
        <v>Feed Info</v>
      </c>
      <c r="B6" t="b">
        <f ca="1">IF(Table9[[#This Row],[Sheet Names]]="","",IFERROR(MATCH(Table9[[#This Row],[Sheet Names]],Table9[Non-Schedule Files],0),0)+(IFERROR(MATCH(Table9[[#This Row],[Sheet Names]],Table8[service_id],0),0)+IFERROR(MATCH(Table9[[#This Row],[Sheet Names]],Table3[service_id],0),0))&gt;0)</f>
        <v>1</v>
      </c>
      <c r="C6" t="s">
        <v>152</v>
      </c>
      <c r="E6" s="15"/>
      <c r="F6" s="15"/>
      <c r="G6" s="15"/>
      <c r="H6" s="15"/>
      <c r="I6" s="15"/>
    </row>
    <row r="7" spans="1:9" x14ac:dyDescent="0.2">
      <c r="A7" t="str" cm="1">
        <f t="array" aca="1" ref="A7" ca="1">IFERROR(INDEX(MID(Sheetnames,FIND("]",Sheetnames)+1,255),ROWS($A$4:A7)),"")</f>
        <v>Routes</v>
      </c>
      <c r="B7" t="b">
        <f ca="1">IF(Table9[[#This Row],[Sheet Names]]="","",IFERROR(MATCH(Table9[[#This Row],[Sheet Names]],Table9[Non-Schedule Files],0),0)+(IFERROR(MATCH(Table9[[#This Row],[Sheet Names]],Table8[service_id],0),0)+IFERROR(MATCH(Table9[[#This Row],[Sheet Names]],Table3[service_id],0),0))&gt;0)</f>
        <v>1</v>
      </c>
      <c r="C7" t="s">
        <v>153</v>
      </c>
      <c r="E7" s="15"/>
      <c r="F7" s="15"/>
      <c r="G7" s="15"/>
      <c r="H7" s="15"/>
      <c r="I7" s="15"/>
    </row>
    <row r="8" spans="1:9" x14ac:dyDescent="0.2">
      <c r="A8" t="str" cm="1">
        <f t="array" aca="1" ref="A8" ca="1">IFERROR(INDEX(MID(Sheetnames,FIND("]",Sheetnames)+1,255),ROWS($A$4:A8)),"")</f>
        <v>Stops</v>
      </c>
      <c r="B8" t="b">
        <f ca="1">IF(Table9[[#This Row],[Sheet Names]]="","",IFERROR(MATCH(Table9[[#This Row],[Sheet Names]],Table9[Non-Schedule Files],0),0)+(IFERROR(MATCH(Table9[[#This Row],[Sheet Names]],Table8[service_id],0),0)+IFERROR(MATCH(Table9[[#This Row],[Sheet Names]],Table3[service_id],0),0))&gt;0)</f>
        <v>1</v>
      </c>
      <c r="C8" t="s">
        <v>154</v>
      </c>
      <c r="E8" s="15"/>
      <c r="F8" s="15"/>
      <c r="G8" s="15"/>
      <c r="H8" s="15"/>
      <c r="I8" s="15"/>
    </row>
    <row r="9" spans="1:9" x14ac:dyDescent="0.2">
      <c r="A9" t="str" cm="1">
        <f t="array" aca="1" ref="A9" ca="1">IFERROR(INDEX(MID(Sheetnames,FIND("]",Sheetnames)+1,255),ROWS($A$4:A9)),"")</f>
        <v>Shapes</v>
      </c>
      <c r="B9" t="b">
        <f ca="1">IF(Table9[[#This Row],[Sheet Names]]="","",IFERROR(MATCH(Table9[[#This Row],[Sheet Names]],Table9[Non-Schedule Files],0),0)+(IFERROR(MATCH(Table9[[#This Row],[Sheet Names]],Table8[service_id],0),0)+IFERROR(MATCH(Table9[[#This Row],[Sheet Names]],Table3[service_id],0),0))&gt;0)</f>
        <v>1</v>
      </c>
      <c r="C9" t="s">
        <v>155</v>
      </c>
      <c r="E9" s="15"/>
      <c r="F9" s="15"/>
      <c r="G9" s="15"/>
      <c r="H9" s="15"/>
      <c r="I9" s="15"/>
    </row>
    <row r="10" spans="1:9" x14ac:dyDescent="0.2">
      <c r="A10" t="str" cm="1">
        <f t="array" aca="1" ref="A10" ca="1">IFERROR(INDEX(MID(Sheetnames,FIND("]",Sheetnames)+1,255),ROWS($A$4:A10)),"")</f>
        <v>Fare Rules</v>
      </c>
      <c r="B10" t="b">
        <f ca="1">IF(Table9[[#This Row],[Sheet Names]]="","",IFERROR(MATCH(Table9[[#This Row],[Sheet Names]],Table9[Non-Schedule Files],0),0)+(IFERROR(MATCH(Table9[[#This Row],[Sheet Names]],Table8[service_id],0),0)+IFERROR(MATCH(Table9[[#This Row],[Sheet Names]],Table3[service_id],0),0))&gt;0)</f>
        <v>1</v>
      </c>
      <c r="C10" t="s">
        <v>156</v>
      </c>
      <c r="E10" s="15"/>
      <c r="F10" s="15"/>
      <c r="G10" s="15"/>
      <c r="H10" s="15"/>
      <c r="I10" s="15"/>
    </row>
    <row r="11" spans="1:9" x14ac:dyDescent="0.2">
      <c r="A11" t="str" cm="1">
        <f t="array" aca="1" ref="A11" ca="1">IFERROR(INDEX(MID(Sheetnames,FIND("]",Sheetnames)+1,255),ROWS($A$4:A11)),"")</f>
        <v>Fare Attributes</v>
      </c>
      <c r="B11" t="b">
        <f ca="1">IF(Table9[[#This Row],[Sheet Names]]="","",IFERROR(MATCH(Table9[[#This Row],[Sheet Names]],Table9[Non-Schedule Files],0),0)+(IFERROR(MATCH(Table9[[#This Row],[Sheet Names]],Table8[service_id],0),0)+IFERROR(MATCH(Table9[[#This Row],[Sheet Names]],Table3[service_id],0),0))&gt;0)</f>
        <v>1</v>
      </c>
      <c r="C11" t="s">
        <v>157</v>
      </c>
      <c r="E11" s="15"/>
      <c r="F11" s="15"/>
      <c r="G11" s="15"/>
      <c r="H11" s="15"/>
      <c r="I11" s="15"/>
    </row>
    <row r="12" spans="1:9" x14ac:dyDescent="0.2">
      <c r="A12" t="str" cm="1">
        <f t="array" aca="1" ref="A12" ca="1">IFERROR(INDEX(MID(Sheetnames,FIND("]",Sheetnames)+1,255),ROWS($A$4:A12)),"")</f>
        <v>Calendar</v>
      </c>
      <c r="B12" t="b">
        <f ca="1">IF(Table9[[#This Row],[Sheet Names]]="","",IFERROR(MATCH(Table9[[#This Row],[Sheet Names]],Table9[Non-Schedule Files],0),0)+(IFERROR(MATCH(Table9[[#This Row],[Sheet Names]],Table8[service_id],0),0)+IFERROR(MATCH(Table9[[#This Row],[Sheet Names]],Table3[service_id],0),0))&gt;0)</f>
        <v>1</v>
      </c>
      <c r="C12" t="s">
        <v>158</v>
      </c>
      <c r="E12" s="15"/>
      <c r="F12" s="15"/>
      <c r="G12" s="15"/>
      <c r="H12" s="15"/>
      <c r="I12" s="15"/>
    </row>
    <row r="13" spans="1:9" x14ac:dyDescent="0.2">
      <c r="A13" t="str" cm="1">
        <f t="array" aca="1" ref="A13" ca="1">IFERROR(INDEX(MID(Sheetnames,FIND("]",Sheetnames)+1,255),ROWS($A$4:A13)),"")</f>
        <v>Calendar Dates</v>
      </c>
      <c r="B13" t="b">
        <f ca="1">IF(Table9[[#This Row],[Sheet Names]]="","",IFERROR(MATCH(Table9[[#This Row],[Sheet Names]],Table9[Non-Schedule Files],0),0)+(IFERROR(MATCH(Table9[[#This Row],[Sheet Names]],Table8[service_id],0),0)+IFERROR(MATCH(Table9[[#This Row],[Sheet Names]],Table3[service_id],0),0))&gt;0)</f>
        <v>1</v>
      </c>
      <c r="C13" t="s">
        <v>159</v>
      </c>
      <c r="E13" s="15"/>
      <c r="F13" s="15"/>
      <c r="G13" s="15"/>
      <c r="H13" s="15"/>
      <c r="I13" s="15"/>
    </row>
    <row r="14" spans="1:9" x14ac:dyDescent="0.2">
      <c r="A14" t="str" cm="1">
        <f t="array" aca="1" ref="A14" ca="1">IFERROR(INDEX(MID(Sheetnames,FIND("]",Sheetnames)+1,255),ROWS($A$4:A14)),"")</f>
        <v>20211009WeekdayWB</v>
      </c>
      <c r="B14" t="b">
        <f ca="1">IF(Table9[[#This Row],[Sheet Names]]="","",IFERROR(MATCH(Table9[[#This Row],[Sheet Names]],Table9[Non-Schedule Files],0),0)+(IFERROR(MATCH(Table9[[#This Row],[Sheet Names]],Table8[service_id],0),0)+IFERROR(MATCH(Table9[[#This Row],[Sheet Names]],Table3[service_id],0),0))&gt;0)</f>
        <v>1</v>
      </c>
      <c r="E14" s="15"/>
      <c r="F14" s="15"/>
      <c r="G14" s="15"/>
      <c r="H14" s="15"/>
      <c r="I14" s="15"/>
    </row>
    <row r="15" spans="1:9" x14ac:dyDescent="0.2">
      <c r="A15" t="str" cm="1">
        <f t="array" aca="1" ref="A15" ca="1">IFERROR(INDEX(MID(Sheetnames,FIND("]",Sheetnames)+1,255),ROWS($A$4:A15)),"")</f>
        <v>20211009WeekdayEB</v>
      </c>
      <c r="B15" t="b">
        <f ca="1">IF(Table9[[#This Row],[Sheet Names]]="","",IFERROR(MATCH(Table9[[#This Row],[Sheet Names]],Table9[Non-Schedule Files],0),0)+(IFERROR(MATCH(Table9[[#This Row],[Sheet Names]],Table8[service_id],0),0)+IFERROR(MATCH(Table9[[#This Row],[Sheet Names]],Table3[service_id],0),0))&gt;0)</f>
        <v>1</v>
      </c>
      <c r="E15" s="15"/>
      <c r="F15" s="15"/>
      <c r="G15" s="15"/>
      <c r="H15" s="15"/>
      <c r="I15" s="15"/>
    </row>
    <row r="16" spans="1:9" x14ac:dyDescent="0.2">
      <c r="A16" t="str" cm="1">
        <f t="array" aca="1" ref="A16" ca="1">IFERROR(INDEX(MID(Sheetnames,FIND("]",Sheetnames)+1,255),ROWS($A$4:A16)),"")</f>
        <v>20211009SatWB</v>
      </c>
      <c r="B16" t="b">
        <f ca="1">IF(Table9[[#This Row],[Sheet Names]]="","",IFERROR(MATCH(Table9[[#This Row],[Sheet Names]],Table9[Non-Schedule Files],0),0)+(IFERROR(MATCH(Table9[[#This Row],[Sheet Names]],Table8[service_id],0),0)+IFERROR(MATCH(Table9[[#This Row],[Sheet Names]],Table3[service_id],0),0))&gt;0)</f>
        <v>1</v>
      </c>
    </row>
    <row r="17" spans="1:2" x14ac:dyDescent="0.2">
      <c r="A17" t="str" cm="1">
        <f t="array" aca="1" ref="A17" ca="1">IFERROR(INDEX(MID(Sheetnames,FIND("]",Sheetnames)+1,255),ROWS($A$4:A17)),"")</f>
        <v>20211009SatEB</v>
      </c>
      <c r="B17" t="b">
        <f ca="1">IF(Table9[[#This Row],[Sheet Names]]="","",IFERROR(MATCH(Table9[[#This Row],[Sheet Names]],Table9[Non-Schedule Files],0),0)+(IFERROR(MATCH(Table9[[#This Row],[Sheet Names]],Table8[service_id],0),0)+IFERROR(MATCH(Table9[[#This Row],[Sheet Names]],Table3[service_id],0),0))&gt;0)</f>
        <v>1</v>
      </c>
    </row>
    <row r="18" spans="1:2" x14ac:dyDescent="0.2">
      <c r="A18" t="str" cm="1">
        <f t="array" aca="1" ref="A18" ca="1">IFERROR(INDEX(MID(Sheetnames,FIND("]",Sheetnames)+1,255),ROWS($A$4:A18)),"")</f>
        <v>20211009SunWB</v>
      </c>
      <c r="B18" t="b">
        <f ca="1">IF(Table9[[#This Row],[Sheet Names]]="","",IFERROR(MATCH(Table9[[#This Row],[Sheet Names]],Table9[Non-Schedule Files],0),0)+(IFERROR(MATCH(Table9[[#This Row],[Sheet Names]],Table8[service_id],0),0)+IFERROR(MATCH(Table9[[#This Row],[Sheet Names]],Table3[service_id],0),0))&gt;0)</f>
        <v>1</v>
      </c>
    </row>
    <row r="19" spans="1:2" x14ac:dyDescent="0.2">
      <c r="A19" t="str" cm="1">
        <f t="array" aca="1" ref="A19" ca="1">IFERROR(INDEX(MID(Sheetnames,FIND("]",Sheetnames)+1,255),ROWS($A$4:A19)),"")</f>
        <v>20211009SunEB</v>
      </c>
      <c r="B19" t="b">
        <f ca="1">IF(Table9[[#This Row],[Sheet Names]]="","",IFERROR(MATCH(Table9[[#This Row],[Sheet Names]],Table9[Non-Schedule Files],0),0)+(IFERROR(MATCH(Table9[[#This Row],[Sheet Names]],Table8[service_id],0),0)+IFERROR(MATCH(Table9[[#This Row],[Sheet Names]],Table3[service_id],0),0))&gt;0)</f>
        <v>1</v>
      </c>
    </row>
    <row r="20" spans="1:2" x14ac:dyDescent="0.2">
      <c r="A20" t="str" cm="1">
        <f t="array" aca="1" ref="A20" ca="1">IFERROR(INDEX(MID(Sheetnames,FIND("]",Sheetnames)+1,255),ROWS($A$4:A20)),"")</f>
        <v>2021-12-11-EB</v>
      </c>
      <c r="B20" t="b">
        <f ca="1">IF(Table9[[#This Row],[Sheet Names]]="","",IFERROR(MATCH(Table9[[#This Row],[Sheet Names]],Table9[Non-Schedule Files],0),0)+(IFERROR(MATCH(Table9[[#This Row],[Sheet Names]],Table8[service_id],0),0)+IFERROR(MATCH(Table9[[#This Row],[Sheet Names]],Table3[service_id],0),0))&gt;0)</f>
        <v>1</v>
      </c>
    </row>
    <row r="21" spans="1:2" x14ac:dyDescent="0.2">
      <c r="A21" t="str" cm="1">
        <f t="array" aca="1" ref="A21" ca="1">IFERROR(INDEX(MID(Sheetnames,FIND("]",Sheetnames)+1,255),ROWS($A$4:A21)),"")</f>
        <v>2021-12-11-WB</v>
      </c>
      <c r="B21" t="b">
        <f ca="1">IF(Table9[[#This Row],[Sheet Names]]="","",IFERROR(MATCH(Table9[[#This Row],[Sheet Names]],Table9[Non-Schedule Files],0),0)+(IFERROR(MATCH(Table9[[#This Row],[Sheet Names]],Table8[service_id],0),0)+IFERROR(MATCH(Table9[[#This Row],[Sheet Names]],Table3[service_id],0),0))&gt;0)</f>
        <v>1</v>
      </c>
    </row>
    <row r="22" spans="1:2" x14ac:dyDescent="0.2">
      <c r="A22" t="str" cm="1">
        <f t="array" aca="1" ref="A22" ca="1">IFERROR(INDEX(MID(Sheetnames,FIND("]",Sheetnames)+1,255),ROWS($A$4:A22)),"")</f>
        <v>2021-12-12-WB</v>
      </c>
      <c r="B22" t="b">
        <f ca="1">IF(Table9[[#This Row],[Sheet Names]]="","",IFERROR(MATCH(Table9[[#This Row],[Sheet Names]],Table9[Non-Schedule Files],0),0)+(IFERROR(MATCH(Table9[[#This Row],[Sheet Names]],Table8[service_id],0),0)+IFERROR(MATCH(Table9[[#This Row],[Sheet Names]],Table3[service_id],0),0))&gt;0)</f>
        <v>1</v>
      </c>
    </row>
    <row r="23" spans="1:2" x14ac:dyDescent="0.2">
      <c r="A23" t="str" cm="1">
        <f t="array" aca="1" ref="A23" ca="1">IFERROR(INDEX(MID(Sheetnames,FIND("]",Sheetnames)+1,255),ROWS($A$4:A23)),"")</f>
        <v>2021-12-13 WB</v>
      </c>
      <c r="B23" t="b">
        <f ca="1">IF(Table9[[#This Row],[Sheet Names]]="","",IFERROR(MATCH(Table9[[#This Row],[Sheet Names]],Table9[Non-Schedule Files],0),0)+(IFERROR(MATCH(Table9[[#This Row],[Sheet Names]],Table8[service_id],0),0)+IFERROR(MATCH(Table9[[#This Row],[Sheet Names]],Table3[service_id],0),0))&gt;0)</f>
        <v>1</v>
      </c>
    </row>
    <row r="24" spans="1:2" x14ac:dyDescent="0.2">
      <c r="A24" t="str" cm="1">
        <f t="array" aca="1" ref="A24" ca="1">IFERROR(INDEX(MID(Sheetnames,FIND("]",Sheetnames)+1,255),ROWS($A$4:A24)),"")</f>
        <v>2021-12-13 EB</v>
      </c>
      <c r="B24" t="b">
        <f ca="1">IF(Table9[[#This Row],[Sheet Names]]="","",IFERROR(MATCH(Table9[[#This Row],[Sheet Names]],Table9[Non-Schedule Files],0),0)+(IFERROR(MATCH(Table9[[#This Row],[Sheet Names]],Table8[service_id],0),0)+IFERROR(MATCH(Table9[[#This Row],[Sheet Names]],Table3[service_id],0),0))&gt;0)</f>
        <v>1</v>
      </c>
    </row>
    <row r="25" spans="1:2" x14ac:dyDescent="0.2">
      <c r="A25" t="str" cm="1">
        <f t="array" aca="1" ref="A25" ca="1">IFERROR(INDEX(MID(Sheetnames,FIND("]",Sheetnames)+1,255),ROWS($A$4:A25)),"")</f>
        <v/>
      </c>
      <c r="B25" t="str">
        <f ca="1">IF(Table9[[#This Row],[Sheet Names]]="","",IFERROR(MATCH(Table9[[#This Row],[Sheet Names]],Table9[Non-Schedule Files],0),0)+(IFERROR(MATCH(Table9[[#This Row],[Sheet Names]],Table8[service_id],0),0)+IFERROR(MATCH(Table9[[#This Row],[Sheet Names]],Table3[service_id],0),0))&gt;0)</f>
        <v/>
      </c>
    </row>
    <row r="26" spans="1:2" x14ac:dyDescent="0.2">
      <c r="A26" t="str" cm="1">
        <f t="array" aca="1" ref="A26" ca="1">IFERROR(INDEX(MID(Sheetnames,FIND("]",Sheetnames)+1,255),ROWS($A$4:A26)),"")</f>
        <v/>
      </c>
      <c r="B26" t="str">
        <f ca="1">IF(Table9[[#This Row],[Sheet Names]]="","",IFERROR(MATCH(Table9[[#This Row],[Sheet Names]],Table9[Non-Schedule Files],0),0)+(IFERROR(MATCH(Table9[[#This Row],[Sheet Names]],Table8[service_id],0),0)+IFERROR(MATCH(Table9[[#This Row],[Sheet Names]],Table3[service_id],0),0))&gt;0)</f>
        <v/>
      </c>
    </row>
    <row r="27" spans="1:2" x14ac:dyDescent="0.2">
      <c r="A27" t="str" cm="1">
        <f t="array" aca="1" ref="A27" ca="1">IFERROR(INDEX(MID(Sheetnames,FIND("]",Sheetnames)+1,255),ROWS($A$4:A27)),"")</f>
        <v/>
      </c>
      <c r="B27" t="str">
        <f ca="1">IF(Table9[[#This Row],[Sheet Names]]="","",IFERROR(MATCH(Table9[[#This Row],[Sheet Names]],Table9[Non-Schedule Files],0),0)+(IFERROR(MATCH(Table9[[#This Row],[Sheet Names]],Table8[service_id],0),0)+IFERROR(MATCH(Table9[[#This Row],[Sheet Names]],Table3[service_id],0),0))&gt;0)</f>
        <v/>
      </c>
    </row>
    <row r="28" spans="1:2" x14ac:dyDescent="0.2">
      <c r="A28" t="str" cm="1">
        <f t="array" aca="1" ref="A28" ca="1">IFERROR(INDEX(MID(Sheetnames,FIND("]",Sheetnames)+1,255),ROWS($A$4:A28)),"")</f>
        <v/>
      </c>
      <c r="B28" t="str">
        <f ca="1">IF(Table9[[#This Row],[Sheet Names]]="","",IFERROR(MATCH(Table9[[#This Row],[Sheet Names]],Table9[Non-Schedule Files],0),0)+(IFERROR(MATCH(Table9[[#This Row],[Sheet Names]],Table8[service_id],0),0)+IFERROR(MATCH(Table9[[#This Row],[Sheet Names]],Table3[service_id],0),0))&gt;0)</f>
        <v/>
      </c>
    </row>
    <row r="29" spans="1:2" x14ac:dyDescent="0.2">
      <c r="A29" t="str" cm="1">
        <f t="array" aca="1" ref="A29" ca="1">IFERROR(INDEX(MID(Sheetnames,FIND("]",Sheetnames)+1,255),ROWS($A$4:A29)),"")</f>
        <v/>
      </c>
      <c r="B29" t="str">
        <f ca="1">IF(Table9[[#This Row],[Sheet Names]]="","",IFERROR(MATCH(Table9[[#This Row],[Sheet Names]],Table9[Non-Schedule Files],0),0)+(IFERROR(MATCH(Table9[[#This Row],[Sheet Names]],Table8[service_id],0),0)+IFERROR(MATCH(Table9[[#This Row],[Sheet Names]],Table3[service_id],0),0))&gt;0)</f>
        <v/>
      </c>
    </row>
    <row r="30" spans="1:2" x14ac:dyDescent="0.2">
      <c r="A30" t="str" cm="1">
        <f t="array" aca="1" ref="A30" ca="1">IFERROR(INDEX(MID(Sheetnames,FIND("]",Sheetnames)+1,255),ROWS($A$4:A30)),"")</f>
        <v/>
      </c>
      <c r="B30" t="str">
        <f ca="1">IF(Table9[[#This Row],[Sheet Names]]="","",IFERROR(MATCH(Table9[[#This Row],[Sheet Names]],Table9[Non-Schedule Files],0),0)+(IFERROR(MATCH(Table9[[#This Row],[Sheet Names]],Table8[service_id],0),0)+IFERROR(MATCH(Table9[[#This Row],[Sheet Names]],Table3[service_id],0),0))&gt;0)</f>
        <v/>
      </c>
    </row>
    <row r="31" spans="1:2" x14ac:dyDescent="0.2">
      <c r="A31" t="str" cm="1">
        <f t="array" aca="1" ref="A31" ca="1">IFERROR(INDEX(MID(Sheetnames,FIND("]",Sheetnames)+1,255),ROWS($A$4:A31)),"")</f>
        <v/>
      </c>
      <c r="B31" t="str">
        <f ca="1">IF(Table9[[#This Row],[Sheet Names]]="","",IFERROR(MATCH(Table9[[#This Row],[Sheet Names]],Table9[Non-Schedule Files],0),0)+(IFERROR(MATCH(Table9[[#This Row],[Sheet Names]],Table8[service_id],0),0)+IFERROR(MATCH(Table9[[#This Row],[Sheet Names]],Table3[service_id],0),0))&gt;0)</f>
        <v/>
      </c>
    </row>
    <row r="32" spans="1:2" x14ac:dyDescent="0.2">
      <c r="A32" t="str" cm="1">
        <f t="array" aca="1" ref="A32" ca="1">IFERROR(INDEX(MID(Sheetnames,FIND("]",Sheetnames)+1,255),ROWS($A$4:A32)),"")</f>
        <v/>
      </c>
      <c r="B32" t="str">
        <f ca="1">IF(Table9[[#This Row],[Sheet Names]]="","",IFERROR(MATCH(Table9[[#This Row],[Sheet Names]],Table9[Non-Schedule Files],0),0)+(IFERROR(MATCH(Table9[[#This Row],[Sheet Names]],Table8[service_id],0),0)+IFERROR(MATCH(Table9[[#This Row],[Sheet Names]],Table3[service_id],0),0))&gt;0)</f>
        <v/>
      </c>
    </row>
    <row r="33" spans="1:2" x14ac:dyDescent="0.2">
      <c r="A33" t="str" cm="1">
        <f t="array" aca="1" ref="A33" ca="1">IFERROR(INDEX(MID(Sheetnames,FIND("]",Sheetnames)+1,255),ROWS($A$4:A33)),"")</f>
        <v/>
      </c>
      <c r="B33" t="str">
        <f ca="1">IF(Table9[[#This Row],[Sheet Names]]="","",IFERROR(MATCH(Table9[[#This Row],[Sheet Names]],Table9[Non-Schedule Files],0),0)+(IFERROR(MATCH(Table9[[#This Row],[Sheet Names]],Table8[service_id],0),0)+IFERROR(MATCH(Table9[[#This Row],[Sheet Names]],Table3[service_id],0),0))&gt;0)</f>
        <v/>
      </c>
    </row>
    <row r="34" spans="1:2" x14ac:dyDescent="0.2">
      <c r="A34" t="str" cm="1">
        <f t="array" aca="1" ref="A34" ca="1">IFERROR(INDEX(MID(Sheetnames,FIND("]",Sheetnames)+1,255),ROWS($A$4:A34)),"")</f>
        <v/>
      </c>
      <c r="B34" t="str">
        <f ca="1">IF(Table9[[#This Row],[Sheet Names]]="","",IFERROR(MATCH(Table9[[#This Row],[Sheet Names]],Table9[Non-Schedule Files],0),0)+(IFERROR(MATCH(Table9[[#This Row],[Sheet Names]],Table8[service_id],0),0)+IFERROR(MATCH(Table9[[#This Row],[Sheet Names]],Table3[service_id],0),0))&gt;0)</f>
        <v/>
      </c>
    </row>
    <row r="35" spans="1:2" x14ac:dyDescent="0.2">
      <c r="A35" t="str" cm="1">
        <f t="array" aca="1" ref="A35" ca="1">IFERROR(INDEX(MID(Sheetnames,FIND("]",Sheetnames)+1,255),ROWS($A$4:A35)),"")</f>
        <v/>
      </c>
      <c r="B35" t="str">
        <f ca="1">IF(Table9[[#This Row],[Sheet Names]]="","",IFERROR(MATCH(Table9[[#This Row],[Sheet Names]],Table9[Non-Schedule Files],0),0)+(IFERROR(MATCH(Table9[[#This Row],[Sheet Names]],Table8[service_id],0),0)+IFERROR(MATCH(Table9[[#This Row],[Sheet Names]],Table3[service_id],0),0))&gt;0)</f>
        <v/>
      </c>
    </row>
    <row r="36" spans="1:2" x14ac:dyDescent="0.2">
      <c r="A36" t="str" cm="1">
        <f t="array" aca="1" ref="A36" ca="1">IFERROR(INDEX(MID(Sheetnames,FIND("]",Sheetnames)+1,255),ROWS($A$4:A36)),"")</f>
        <v/>
      </c>
      <c r="B36" t="str">
        <f ca="1">IF(Table9[[#This Row],[Sheet Names]]="","",IFERROR(MATCH(Table9[[#This Row],[Sheet Names]],Table9[Non-Schedule Files],0),0)+(IFERROR(MATCH(Table9[[#This Row],[Sheet Names]],Table8[service_id],0),0)+IFERROR(MATCH(Table9[[#This Row],[Sheet Names]],Table3[service_id],0),0))&gt;0)</f>
        <v/>
      </c>
    </row>
    <row r="37" spans="1:2" x14ac:dyDescent="0.2">
      <c r="A37" t="str" cm="1">
        <f t="array" aca="1" ref="A37" ca="1">IFERROR(INDEX(MID(Sheetnames,FIND("]",Sheetnames)+1,255),ROWS($A$4:A37)),"")</f>
        <v/>
      </c>
      <c r="B37" t="str">
        <f ca="1">IF(Table9[[#This Row],[Sheet Names]]="","",IFERROR(MATCH(Table9[[#This Row],[Sheet Names]],Table9[Non-Schedule Files],0),0)+(IFERROR(MATCH(Table9[[#This Row],[Sheet Names]],Table8[service_id],0),0)+IFERROR(MATCH(Table9[[#This Row],[Sheet Names]],Table3[service_id],0),0))&gt;0)</f>
        <v/>
      </c>
    </row>
    <row r="38" spans="1:2" x14ac:dyDescent="0.2">
      <c r="A38" t="str" cm="1">
        <f t="array" aca="1" ref="A38" ca="1">IFERROR(INDEX(MID(Sheetnames,FIND("]",Sheetnames)+1,255),ROWS($A$4:A38)),"")</f>
        <v/>
      </c>
      <c r="B38" t="str">
        <f ca="1">IF(Table9[[#This Row],[Sheet Names]]="","",IFERROR(MATCH(Table9[[#This Row],[Sheet Names]],Table9[Non-Schedule Files],0),0)+(IFERROR(MATCH(Table9[[#This Row],[Sheet Names]],Table8[service_id],0),0)+IFERROR(MATCH(Table9[[#This Row],[Sheet Names]],Table3[service_id],0),0))&gt;0)</f>
        <v/>
      </c>
    </row>
    <row r="39" spans="1:2" x14ac:dyDescent="0.2">
      <c r="A39" t="str" cm="1">
        <f t="array" aca="1" ref="A39" ca="1">IFERROR(INDEX(MID(Sheetnames,FIND("]",Sheetnames)+1,255),ROWS($A$4:A39)),"")</f>
        <v/>
      </c>
      <c r="B39" t="str">
        <f ca="1">IF(Table9[[#This Row],[Sheet Names]]="","",IFERROR(MATCH(Table9[[#This Row],[Sheet Names]],Table9[Non-Schedule Files],0),0)+(IFERROR(MATCH(Table9[[#This Row],[Sheet Names]],Table8[service_id],0),0)+IFERROR(MATCH(Table9[[#This Row],[Sheet Names]],Table3[service_id],0),0))&gt;0)</f>
        <v/>
      </c>
    </row>
    <row r="40" spans="1:2" x14ac:dyDescent="0.2">
      <c r="A40" t="str" cm="1">
        <f t="array" aca="1" ref="A40" ca="1">IFERROR(INDEX(MID(Sheetnames,FIND("]",Sheetnames)+1,255),ROWS($A$4:A40)),"")</f>
        <v/>
      </c>
      <c r="B40" t="str">
        <f ca="1">IF(Table9[[#This Row],[Sheet Names]]="","",IFERROR(MATCH(Table9[[#This Row],[Sheet Names]],Table9[Non-Schedule Files],0),0)+(IFERROR(MATCH(Table9[[#This Row],[Sheet Names]],Table8[service_id],0),0)+IFERROR(MATCH(Table9[[#This Row],[Sheet Names]],Table3[service_id],0),0))&gt;0)</f>
        <v/>
      </c>
    </row>
    <row r="41" spans="1:2" x14ac:dyDescent="0.2">
      <c r="A41" t="str" cm="1">
        <f t="array" aca="1" ref="A41" ca="1">IFERROR(INDEX(MID(Sheetnames,FIND("]",Sheetnames)+1,255),ROWS($A$4:A41)),"")</f>
        <v/>
      </c>
      <c r="B41" t="str">
        <f ca="1">IF(Table9[[#This Row],[Sheet Names]]="","",IFERROR(MATCH(Table9[[#This Row],[Sheet Names]],Table9[Non-Schedule Files],0),0)+(IFERROR(MATCH(Table9[[#This Row],[Sheet Names]],Table8[service_id],0),0)+IFERROR(MATCH(Table9[[#This Row],[Sheet Names]],Table3[service_id],0),0))&gt;0)</f>
        <v/>
      </c>
    </row>
    <row r="42" spans="1:2" x14ac:dyDescent="0.2">
      <c r="A42" t="str" cm="1">
        <f t="array" aca="1" ref="A42" ca="1">IFERROR(INDEX(MID(Sheetnames,FIND("]",Sheetnames)+1,255),ROWS($A$4:A42)),"")</f>
        <v/>
      </c>
      <c r="B42" t="str">
        <f ca="1">IF(Table9[[#This Row],[Sheet Names]]="","",IFERROR(MATCH(Table9[[#This Row],[Sheet Names]],Table9[Non-Schedule Files],0),0)+(IFERROR(MATCH(Table9[[#This Row],[Sheet Names]],Table8[service_id],0),0)+IFERROR(MATCH(Table9[[#This Row],[Sheet Names]],Table3[service_id],0),0))&gt;0)</f>
        <v/>
      </c>
    </row>
    <row r="43" spans="1:2" x14ac:dyDescent="0.2">
      <c r="A43" t="str" cm="1">
        <f t="array" aca="1" ref="A43" ca="1">IFERROR(INDEX(MID(Sheetnames,FIND("]",Sheetnames)+1,255),ROWS($A$4:A43)),"")</f>
        <v/>
      </c>
      <c r="B43" t="str">
        <f ca="1">IF(Table9[[#This Row],[Sheet Names]]="","",IFERROR(MATCH(Table9[[#This Row],[Sheet Names]],Table9[Non-Schedule Files],0),0)+(IFERROR(MATCH(Table9[[#This Row],[Sheet Names]],Table8[service_id],0),0)+IFERROR(MATCH(Table9[[#This Row],[Sheet Names]],Table3[service_id],0),0))&gt;0)</f>
        <v/>
      </c>
    </row>
    <row r="44" spans="1:2" x14ac:dyDescent="0.2">
      <c r="A44" t="str" cm="1">
        <f t="array" aca="1" ref="A44" ca="1">IFERROR(INDEX(MID(Sheetnames,FIND("]",Sheetnames)+1,255),ROWS($A$4:A44)),"")</f>
        <v/>
      </c>
      <c r="B44" t="str">
        <f ca="1">IF(Table9[[#This Row],[Sheet Names]]="","",IFERROR(MATCH(Table9[[#This Row],[Sheet Names]],Table9[Non-Schedule Files],0),0)+(IFERROR(MATCH(Table9[[#This Row],[Sheet Names]],Table8[service_id],0),0)+IFERROR(MATCH(Table9[[#This Row],[Sheet Names]],Table3[service_id],0),0))&gt;0)</f>
        <v/>
      </c>
    </row>
    <row r="45" spans="1:2" x14ac:dyDescent="0.2">
      <c r="A45" t="str" cm="1">
        <f t="array" aca="1" ref="A45" ca="1">IFERROR(INDEX(MID(Sheetnames,FIND("]",Sheetnames)+1,255),ROWS($A$4:A45)),"")</f>
        <v/>
      </c>
      <c r="B45" t="str">
        <f ca="1">IF(Table9[[#This Row],[Sheet Names]]="","",IFERROR(MATCH(Table9[[#This Row],[Sheet Names]],Table9[Non-Schedule Files],0),0)+(IFERROR(MATCH(Table9[[#This Row],[Sheet Names]],Table8[service_id],0),0)+IFERROR(MATCH(Table9[[#This Row],[Sheet Names]],Table3[service_id],0),0))&gt;0)</f>
        <v/>
      </c>
    </row>
    <row r="46" spans="1:2" x14ac:dyDescent="0.2">
      <c r="A46" t="str" cm="1">
        <f t="array" aca="1" ref="A46" ca="1">IFERROR(INDEX(MID(Sheetnames,FIND("]",Sheetnames)+1,255),ROWS($A$4:A46)),"")</f>
        <v/>
      </c>
      <c r="B46" t="str">
        <f ca="1">IF(Table9[[#This Row],[Sheet Names]]="","",IFERROR(MATCH(Table9[[#This Row],[Sheet Names]],Table9[Non-Schedule Files],0),0)+(IFERROR(MATCH(Table9[[#This Row],[Sheet Names]],Table8[service_id],0),0)+IFERROR(MATCH(Table9[[#This Row],[Sheet Names]],Table3[service_id],0),0))&gt;0)</f>
        <v/>
      </c>
    </row>
    <row r="47" spans="1:2" x14ac:dyDescent="0.2">
      <c r="A47" t="str" cm="1">
        <f t="array" aca="1" ref="A47" ca="1">IFERROR(INDEX(MID(Sheetnames,FIND("]",Sheetnames)+1,255),ROWS($A$4:A47)),"")</f>
        <v/>
      </c>
      <c r="B47" t="str">
        <f ca="1">IF(Table9[[#This Row],[Sheet Names]]="","",IFERROR(MATCH(Table9[[#This Row],[Sheet Names]],Table9[Non-Schedule Files],0),0)+(IFERROR(MATCH(Table9[[#This Row],[Sheet Names]],Table8[service_id],0),0)+IFERROR(MATCH(Table9[[#This Row],[Sheet Names]],Table3[service_id],0),0))&gt;0)</f>
        <v/>
      </c>
    </row>
    <row r="48" spans="1:2" x14ac:dyDescent="0.2">
      <c r="A48" t="str" cm="1">
        <f t="array" aca="1" ref="A48" ca="1">IFERROR(INDEX(MID(Sheetnames,FIND("]",Sheetnames)+1,255),ROWS($A$4:A48)),"")</f>
        <v/>
      </c>
      <c r="B48" t="str">
        <f ca="1">IF(Table9[[#This Row],[Sheet Names]]="","",IFERROR(MATCH(Table9[[#This Row],[Sheet Names]],Table9[Non-Schedule Files],0),0)+(IFERROR(MATCH(Table9[[#This Row],[Sheet Names]],Table8[service_id],0),0)+IFERROR(MATCH(Table9[[#This Row],[Sheet Names]],Table3[service_id],0),0))&gt;0)</f>
        <v/>
      </c>
    </row>
    <row r="49" spans="1:2" x14ac:dyDescent="0.2">
      <c r="A49" t="str" cm="1">
        <f t="array" aca="1" ref="A49" ca="1">IFERROR(INDEX(MID(Sheetnames,FIND("]",Sheetnames)+1,255),ROWS($A$4:A49)),"")</f>
        <v/>
      </c>
      <c r="B49" t="str">
        <f ca="1">IF(Table9[[#This Row],[Sheet Names]]="","",IFERROR(MATCH(Table9[[#This Row],[Sheet Names]],Table9[Non-Schedule Files],0),0)+(IFERROR(MATCH(Table9[[#This Row],[Sheet Names]],Table8[service_id],0),0)+IFERROR(MATCH(Table9[[#This Row],[Sheet Names]],Table3[service_id],0),0))&gt;0)</f>
        <v/>
      </c>
    </row>
    <row r="50" spans="1:2" x14ac:dyDescent="0.2">
      <c r="A50" t="str" cm="1">
        <f t="array" aca="1" ref="A50" ca="1">IFERROR(INDEX(MID(Sheetnames,FIND("]",Sheetnames)+1,255),ROWS($A$4:A50)),"")</f>
        <v/>
      </c>
      <c r="B50" t="str">
        <f ca="1">IF(Table9[[#This Row],[Sheet Names]]="","",IFERROR(MATCH(Table9[[#This Row],[Sheet Names]],Table9[Non-Schedule Files],0),0)+(IFERROR(MATCH(Table9[[#This Row],[Sheet Names]],Table8[service_id],0),0)+IFERROR(MATCH(Table9[[#This Row],[Sheet Names]],Table3[service_id],0),0))&gt;0)</f>
        <v/>
      </c>
    </row>
    <row r="51" spans="1:2" x14ac:dyDescent="0.2">
      <c r="A51" t="str" cm="1">
        <f t="array" aca="1" ref="A51" ca="1">IFERROR(INDEX(MID(Sheetnames,FIND("]",Sheetnames)+1,255),ROWS($A$4:A51)),"")</f>
        <v/>
      </c>
      <c r="B51" t="str">
        <f ca="1">IF(Table9[[#This Row],[Sheet Names]]="","",IFERROR(MATCH(Table9[[#This Row],[Sheet Names]],Table9[Non-Schedule Files],0),0)+(IFERROR(MATCH(Table9[[#This Row],[Sheet Names]],Table8[service_id],0),0)+IFERROR(MATCH(Table9[[#This Row],[Sheet Names]],Table3[service_id],0),0))&gt;0)</f>
        <v/>
      </c>
    </row>
    <row r="52" spans="1:2" x14ac:dyDescent="0.2">
      <c r="A52" t="str" cm="1">
        <f t="array" aca="1" ref="A52" ca="1">IFERROR(INDEX(MID(Sheetnames,FIND("]",Sheetnames)+1,255),ROWS($A$4:A52)),"")</f>
        <v/>
      </c>
      <c r="B52" t="str">
        <f ca="1">IF(Table9[[#This Row],[Sheet Names]]="","",IFERROR(MATCH(Table9[[#This Row],[Sheet Names]],Table9[Non-Schedule Files],0),0)+(IFERROR(MATCH(Table9[[#This Row],[Sheet Names]],Table8[service_id],0),0)+IFERROR(MATCH(Table9[[#This Row],[Sheet Names]],Table3[service_id],0),0))&gt;0)</f>
        <v/>
      </c>
    </row>
    <row r="53" spans="1:2" x14ac:dyDescent="0.2">
      <c r="A53" t="str" cm="1">
        <f t="array" aca="1" ref="A53" ca="1">IFERROR(INDEX(MID(Sheetnames,FIND("]",Sheetnames)+1,255),ROWS($A$4:A53)),"")</f>
        <v/>
      </c>
      <c r="B53" t="str">
        <f ca="1">IF(Table9[[#This Row],[Sheet Names]]="","",IFERROR(MATCH(Table9[[#This Row],[Sheet Names]],Table9[Non-Schedule Files],0),0)+(IFERROR(MATCH(Table9[[#This Row],[Sheet Names]],Table8[service_id],0),0)+IFERROR(MATCH(Table9[[#This Row],[Sheet Names]],Table3[service_id],0),0))&gt;0)</f>
        <v/>
      </c>
    </row>
    <row r="54" spans="1:2" x14ac:dyDescent="0.2">
      <c r="A54" t="str" cm="1">
        <f t="array" aca="1" ref="A54" ca="1">IFERROR(INDEX(MID(Sheetnames,FIND("]",Sheetnames)+1,255),ROWS($A$4:A54)),"")</f>
        <v/>
      </c>
      <c r="B54" t="str">
        <f ca="1">IF(Table9[[#This Row],[Sheet Names]]="","",IFERROR(MATCH(Table9[[#This Row],[Sheet Names]],Table9[Non-Schedule Files],0),0)+(IFERROR(MATCH(Table9[[#This Row],[Sheet Names]],Table8[service_id],0),0)+IFERROR(MATCH(Table9[[#This Row],[Sheet Names]],Table3[service_id],0),0))&gt;0)</f>
        <v/>
      </c>
    </row>
    <row r="55" spans="1:2" x14ac:dyDescent="0.2">
      <c r="A55" t="str" cm="1">
        <f t="array" aca="1" ref="A55" ca="1">IFERROR(INDEX(MID(Sheetnames,FIND("]",Sheetnames)+1,255),ROWS($A$4:A55)),"")</f>
        <v/>
      </c>
      <c r="B55" t="str">
        <f ca="1">IF(Table9[[#This Row],[Sheet Names]]="","",IFERROR(MATCH(Table9[[#This Row],[Sheet Names]],Table9[Non-Schedule Files],0),0)+(IFERROR(MATCH(Table9[[#This Row],[Sheet Names]],Table8[service_id],0),0)+IFERROR(MATCH(Table9[[#This Row],[Sheet Names]],Table3[service_id],0),0))&gt;0)</f>
        <v/>
      </c>
    </row>
    <row r="56" spans="1:2" x14ac:dyDescent="0.2">
      <c r="A56" t="str" cm="1">
        <f t="array" aca="1" ref="A56" ca="1">IFERROR(INDEX(MID(Sheetnames,FIND("]",Sheetnames)+1,255),ROWS($A$4:A56)),"")</f>
        <v/>
      </c>
      <c r="B56" t="str">
        <f ca="1">IF(Table9[[#This Row],[Sheet Names]]="","",IFERROR(MATCH(Table9[[#This Row],[Sheet Names]],Table9[Non-Schedule Files],0),0)+(IFERROR(MATCH(Table9[[#This Row],[Sheet Names]],Table8[service_id],0),0)+IFERROR(MATCH(Table9[[#This Row],[Sheet Names]],Table3[service_id],0),0))&gt;0)</f>
        <v/>
      </c>
    </row>
    <row r="57" spans="1:2" x14ac:dyDescent="0.2">
      <c r="A57" t="str" cm="1">
        <f t="array" aca="1" ref="A57" ca="1">IFERROR(INDEX(MID(Sheetnames,FIND("]",Sheetnames)+1,255),ROWS($A$4:A57)),"")</f>
        <v/>
      </c>
      <c r="B57" t="str">
        <f ca="1">IF(Table9[[#This Row],[Sheet Names]]="","",IFERROR(MATCH(Table9[[#This Row],[Sheet Names]],Table9[Non-Schedule Files],0),0)+(IFERROR(MATCH(Table9[[#This Row],[Sheet Names]],Table8[service_id],0),0)+IFERROR(MATCH(Table9[[#This Row],[Sheet Names]],Table3[service_id],0),0))&gt;0)</f>
        <v/>
      </c>
    </row>
    <row r="58" spans="1:2" x14ac:dyDescent="0.2">
      <c r="A58" t="str" cm="1">
        <f t="array" aca="1" ref="A58" ca="1">IFERROR(INDEX(MID(Sheetnames,FIND("]",Sheetnames)+1,255),ROWS($A$4:A58)),"")</f>
        <v/>
      </c>
      <c r="B58" t="str">
        <f ca="1">IF(Table9[[#This Row],[Sheet Names]]="","",IFERROR(MATCH(Table9[[#This Row],[Sheet Names]],Table9[Non-Schedule Files],0),0)+(IFERROR(MATCH(Table9[[#This Row],[Sheet Names]],Table8[service_id],0),0)+IFERROR(MATCH(Table9[[#This Row],[Sheet Names]],Table3[service_id],0),0))&gt;0)</f>
        <v/>
      </c>
    </row>
    <row r="59" spans="1:2" x14ac:dyDescent="0.2">
      <c r="A59" t="str" cm="1">
        <f t="array" aca="1" ref="A59" ca="1">IFERROR(INDEX(MID(Sheetnames,FIND("]",Sheetnames)+1,255),ROWS($A$4:A59)),"")</f>
        <v/>
      </c>
      <c r="B59" t="str">
        <f ca="1">IF(Table9[[#This Row],[Sheet Names]]="","",IFERROR(MATCH(Table9[[#This Row],[Sheet Names]],Table9[Non-Schedule Files],0),0)+(IFERROR(MATCH(Table9[[#This Row],[Sheet Names]],Table8[service_id],0),0)+IFERROR(MATCH(Table9[[#This Row],[Sheet Names]],Table3[service_id],0),0))&gt;0)</f>
        <v/>
      </c>
    </row>
    <row r="60" spans="1:2" x14ac:dyDescent="0.2">
      <c r="A60" t="str" cm="1">
        <f t="array" aca="1" ref="A60" ca="1">IFERROR(INDEX(MID(Sheetnames,FIND("]",Sheetnames)+1,255),ROWS($A$4:A60)),"")</f>
        <v/>
      </c>
      <c r="B60" t="str">
        <f ca="1">IF(Table9[[#This Row],[Sheet Names]]="","",IFERROR(MATCH(Table9[[#This Row],[Sheet Names]],Table9[Non-Schedule Files],0),0)+(IFERROR(MATCH(Table9[[#This Row],[Sheet Names]],Table8[service_id],0),0)+IFERROR(MATCH(Table9[[#This Row],[Sheet Names]],Table3[service_id],0),0))&gt;0)</f>
        <v/>
      </c>
    </row>
    <row r="61" spans="1:2" x14ac:dyDescent="0.2">
      <c r="A61" t="str" cm="1">
        <f t="array" aca="1" ref="A61" ca="1">IFERROR(INDEX(MID(Sheetnames,FIND("]",Sheetnames)+1,255),ROWS($A$4:A61)),"")</f>
        <v/>
      </c>
      <c r="B61" t="str">
        <f ca="1">IF(Table9[[#This Row],[Sheet Names]]="","",IFERROR(MATCH(Table9[[#This Row],[Sheet Names]],Table9[Non-Schedule Files],0),0)+(IFERROR(MATCH(Table9[[#This Row],[Sheet Names]],Table8[service_id],0),0)+IFERROR(MATCH(Table9[[#This Row],[Sheet Names]],Table3[service_id],0),0))&gt;0)</f>
        <v/>
      </c>
    </row>
    <row r="62" spans="1:2" x14ac:dyDescent="0.2">
      <c r="A62" t="str" cm="1">
        <f t="array" aca="1" ref="A62" ca="1">IFERROR(INDEX(MID(Sheetnames,FIND("]",Sheetnames)+1,255),ROWS($A$4:A62)),"")</f>
        <v/>
      </c>
      <c r="B62" t="str">
        <f ca="1">IF(Table9[[#This Row],[Sheet Names]]="","",IFERROR(MATCH(Table9[[#This Row],[Sheet Names]],Table9[Non-Schedule Files],0),0)+(IFERROR(MATCH(Table9[[#This Row],[Sheet Names]],Table8[service_id],0),0)+IFERROR(MATCH(Table9[[#This Row],[Sheet Names]],Table3[service_id],0),0))&gt;0)</f>
        <v/>
      </c>
    </row>
  </sheetData>
  <mergeCells count="1">
    <mergeCell ref="E5:I15"/>
  </mergeCells>
  <conditionalFormatting sqref="B4:B62">
    <cfRule type="cellIs" dxfId="6" priority="1" operator="equal">
      <formula>FALSE</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D7405-7C61-7840-9BA1-9080767E7CA4}">
  <dimension ref="A1:H2"/>
  <sheetViews>
    <sheetView workbookViewId="0">
      <selection activeCell="D2" sqref="D2"/>
    </sheetView>
  </sheetViews>
  <sheetFormatPr baseColWidth="10" defaultRowHeight="16" x14ac:dyDescent="0.2"/>
  <cols>
    <col min="1" max="1" width="11.83203125" customWidth="1"/>
    <col min="2" max="2" width="15" customWidth="1"/>
    <col min="3" max="3" width="12.5" customWidth="1"/>
    <col min="4" max="4" width="18" customWidth="1"/>
    <col min="5" max="5" width="13.83203125" customWidth="1"/>
    <col min="6" max="6" width="15.33203125" customWidth="1"/>
    <col min="7" max="7" width="16.83203125" customWidth="1"/>
    <col min="8" max="8" width="15" customWidth="1"/>
  </cols>
  <sheetData>
    <row r="1" spans="1:8" x14ac:dyDescent="0.2">
      <c r="A1" t="s">
        <v>0</v>
      </c>
      <c r="B1" t="s">
        <v>1</v>
      </c>
      <c r="C1" t="s">
        <v>2</v>
      </c>
      <c r="D1" t="s">
        <v>3</v>
      </c>
      <c r="E1" t="s">
        <v>4</v>
      </c>
      <c r="F1" t="s">
        <v>5</v>
      </c>
      <c r="G1" t="s">
        <v>6</v>
      </c>
      <c r="H1" t="s">
        <v>7</v>
      </c>
    </row>
    <row r="2" spans="1:8" x14ac:dyDescent="0.2">
      <c r="A2" t="s">
        <v>126</v>
      </c>
      <c r="B2" t="s">
        <v>127</v>
      </c>
      <c r="C2" t="s">
        <v>9</v>
      </c>
      <c r="D2" t="s">
        <v>10</v>
      </c>
      <c r="E2" t="s">
        <v>11</v>
      </c>
      <c r="F2" t="s">
        <v>12</v>
      </c>
      <c r="G2" t="s">
        <v>13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35973-AAD4-EC4A-9892-1E75F673C165}">
  <dimension ref="A1:E2"/>
  <sheetViews>
    <sheetView workbookViewId="0">
      <selection activeCell="C7" sqref="C7"/>
    </sheetView>
  </sheetViews>
  <sheetFormatPr baseColWidth="10" defaultRowHeight="16" x14ac:dyDescent="0.2"/>
  <cols>
    <col min="1" max="1" width="21.33203125" customWidth="1"/>
    <col min="2" max="2" width="63.5" bestFit="1" customWidth="1"/>
    <col min="3" max="3" width="11.6640625" customWidth="1"/>
    <col min="4" max="4" width="14.1640625" customWidth="1"/>
    <col min="5" max="5" width="20.1640625" bestFit="1" customWidth="1"/>
  </cols>
  <sheetData>
    <row r="1" spans="1:5" x14ac:dyDescent="0.2">
      <c r="A1" t="s">
        <v>143</v>
      </c>
      <c r="B1" t="s">
        <v>144</v>
      </c>
      <c r="C1" t="s">
        <v>145</v>
      </c>
      <c r="D1" t="s">
        <v>146</v>
      </c>
      <c r="E1" t="s">
        <v>148</v>
      </c>
    </row>
    <row r="2" spans="1:5" x14ac:dyDescent="0.2">
      <c r="A2" t="s">
        <v>8</v>
      </c>
      <c r="B2" s="11" t="s">
        <v>147</v>
      </c>
      <c r="C2" t="s">
        <v>149</v>
      </c>
      <c r="D2">
        <v>20211212</v>
      </c>
    </row>
  </sheetData>
  <phoneticPr fontId="6" type="noConversion"/>
  <hyperlinks>
    <hyperlink ref="B2" r:id="rId1" xr:uid="{9391D91B-C7D8-5048-85F3-1612A1CED844}"/>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C44AB-D266-8248-9F9B-0B3E5F01F548}">
  <dimension ref="A1:I2"/>
  <sheetViews>
    <sheetView workbookViewId="0">
      <selection activeCell="D3" sqref="D3"/>
    </sheetView>
  </sheetViews>
  <sheetFormatPr baseColWidth="10" defaultRowHeight="16" x14ac:dyDescent="0.2"/>
  <cols>
    <col min="1" max="1" width="11.83203125" customWidth="1"/>
    <col min="4" max="4" width="18.6640625" customWidth="1"/>
    <col min="5" max="5" width="23.5" bestFit="1" customWidth="1"/>
    <col min="6" max="7" width="12.5" customWidth="1"/>
    <col min="8" max="8" width="11" customWidth="1"/>
    <col min="9" max="9" width="12.83203125" customWidth="1"/>
    <col min="10" max="10" width="17.1640625" customWidth="1"/>
  </cols>
  <sheetData>
    <row r="1" spans="1:9" x14ac:dyDescent="0.2">
      <c r="A1" t="s">
        <v>0</v>
      </c>
      <c r="B1" t="s">
        <v>14</v>
      </c>
      <c r="C1" t="s">
        <v>15</v>
      </c>
      <c r="D1" t="s">
        <v>16</v>
      </c>
      <c r="E1" t="s">
        <v>17</v>
      </c>
      <c r="F1" t="s">
        <v>18</v>
      </c>
      <c r="G1" t="s">
        <v>19</v>
      </c>
      <c r="H1" t="s">
        <v>20</v>
      </c>
      <c r="I1" t="s">
        <v>21</v>
      </c>
    </row>
    <row r="2" spans="1:9" x14ac:dyDescent="0.2">
      <c r="A2" t="s">
        <v>126</v>
      </c>
      <c r="B2" t="s">
        <v>8</v>
      </c>
      <c r="C2" t="s">
        <v>8</v>
      </c>
      <c r="D2" t="s">
        <v>110</v>
      </c>
      <c r="E2" t="s">
        <v>111</v>
      </c>
      <c r="F2">
        <v>2</v>
      </c>
      <c r="H2" t="s">
        <v>22</v>
      </c>
      <c r="I2" t="s">
        <v>23</v>
      </c>
    </row>
  </sheetData>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295E3-80CC-1D49-88AC-1959E094A70C}">
  <dimension ref="A1:L15"/>
  <sheetViews>
    <sheetView workbookViewId="0">
      <selection activeCell="J20" sqref="J20"/>
    </sheetView>
  </sheetViews>
  <sheetFormatPr baseColWidth="10" defaultRowHeight="16" x14ac:dyDescent="0.2"/>
  <cols>
    <col min="2" max="2" width="11.83203125" customWidth="1"/>
    <col min="3" max="3" width="16.83203125" bestFit="1" customWidth="1"/>
    <col min="4" max="4" width="15.6640625" bestFit="1" customWidth="1"/>
    <col min="9" max="9" width="14.6640625" customWidth="1"/>
    <col min="10" max="10" width="15.5" customWidth="1"/>
    <col min="11" max="11" width="15.6640625" customWidth="1"/>
    <col min="12" max="12" width="20.6640625" customWidth="1"/>
  </cols>
  <sheetData>
    <row r="1" spans="1:12" x14ac:dyDescent="0.2">
      <c r="A1" t="s">
        <v>29</v>
      </c>
      <c r="B1" t="s">
        <v>30</v>
      </c>
      <c r="C1" t="s">
        <v>31</v>
      </c>
      <c r="D1" t="s">
        <v>32</v>
      </c>
      <c r="E1" t="s">
        <v>33</v>
      </c>
      <c r="F1" t="s">
        <v>34</v>
      </c>
      <c r="G1" t="s">
        <v>35</v>
      </c>
      <c r="H1" t="s">
        <v>36</v>
      </c>
      <c r="I1" t="s">
        <v>37</v>
      </c>
      <c r="J1" t="s">
        <v>38</v>
      </c>
      <c r="K1" t="s">
        <v>39</v>
      </c>
      <c r="L1" t="s">
        <v>40</v>
      </c>
    </row>
    <row r="2" spans="1:12" x14ac:dyDescent="0.2">
      <c r="A2" t="s">
        <v>138</v>
      </c>
      <c r="C2" t="s">
        <v>41</v>
      </c>
      <c r="E2">
        <v>39.833809000000002</v>
      </c>
      <c r="F2">
        <v>-75.000325000000004</v>
      </c>
      <c r="G2" t="s">
        <v>101</v>
      </c>
      <c r="H2" t="s">
        <v>42</v>
      </c>
      <c r="I2">
        <v>0</v>
      </c>
      <c r="L2">
        <v>1</v>
      </c>
    </row>
    <row r="3" spans="1:12" x14ac:dyDescent="0.2">
      <c r="A3" t="s">
        <v>129</v>
      </c>
      <c r="C3" t="s">
        <v>51</v>
      </c>
      <c r="D3" t="s">
        <v>107</v>
      </c>
      <c r="E3">
        <v>39.858697999999997</v>
      </c>
      <c r="F3">
        <v>-75.009197999999998</v>
      </c>
      <c r="G3" t="s">
        <v>101</v>
      </c>
      <c r="H3" t="s">
        <v>52</v>
      </c>
      <c r="I3">
        <v>0</v>
      </c>
      <c r="L3">
        <v>1</v>
      </c>
    </row>
    <row r="4" spans="1:12" x14ac:dyDescent="0.2">
      <c r="A4" t="s">
        <v>136</v>
      </c>
      <c r="C4" t="s">
        <v>53</v>
      </c>
      <c r="D4" t="s">
        <v>108</v>
      </c>
      <c r="E4">
        <v>39.870156999999999</v>
      </c>
      <c r="F4">
        <v>-75.011246999999997</v>
      </c>
      <c r="G4" t="s">
        <v>101</v>
      </c>
      <c r="H4" t="s">
        <v>54</v>
      </c>
      <c r="I4">
        <v>0</v>
      </c>
      <c r="L4">
        <v>1</v>
      </c>
    </row>
    <row r="5" spans="1:12" x14ac:dyDescent="0.2">
      <c r="A5" t="s">
        <v>137</v>
      </c>
      <c r="C5" t="s">
        <v>55</v>
      </c>
      <c r="E5">
        <v>39.897609000000003</v>
      </c>
      <c r="F5">
        <v>-75.037141000000005</v>
      </c>
      <c r="G5" t="s">
        <v>103</v>
      </c>
      <c r="H5" t="s">
        <v>56</v>
      </c>
      <c r="I5">
        <v>0</v>
      </c>
      <c r="L5">
        <v>1</v>
      </c>
    </row>
    <row r="6" spans="1:12" x14ac:dyDescent="0.2">
      <c r="A6" t="s">
        <v>135</v>
      </c>
      <c r="C6" t="s">
        <v>57</v>
      </c>
      <c r="D6" t="s">
        <v>109</v>
      </c>
      <c r="E6">
        <v>39.907086</v>
      </c>
      <c r="F6">
        <v>-75.046544999999995</v>
      </c>
      <c r="G6" t="s">
        <v>103</v>
      </c>
      <c r="H6" t="s">
        <v>58</v>
      </c>
      <c r="I6">
        <v>0</v>
      </c>
      <c r="L6">
        <v>1</v>
      </c>
    </row>
    <row r="7" spans="1:12" x14ac:dyDescent="0.2">
      <c r="A7" t="s">
        <v>134</v>
      </c>
      <c r="C7" t="s">
        <v>59</v>
      </c>
      <c r="E7">
        <v>39.913587999999997</v>
      </c>
      <c r="F7">
        <v>-75.064559000000003</v>
      </c>
      <c r="G7" t="s">
        <v>103</v>
      </c>
      <c r="H7" t="s">
        <v>60</v>
      </c>
      <c r="I7">
        <v>0</v>
      </c>
      <c r="L7">
        <v>1</v>
      </c>
    </row>
    <row r="8" spans="1:12" x14ac:dyDescent="0.2">
      <c r="A8" t="s">
        <v>133</v>
      </c>
      <c r="C8" t="s">
        <v>61</v>
      </c>
      <c r="D8" t="s">
        <v>104</v>
      </c>
      <c r="E8">
        <v>39.922868999999999</v>
      </c>
      <c r="F8">
        <v>-75.092025000000007</v>
      </c>
      <c r="G8" t="s">
        <v>100</v>
      </c>
      <c r="H8" t="s">
        <v>62</v>
      </c>
      <c r="I8">
        <v>0</v>
      </c>
      <c r="L8">
        <v>1</v>
      </c>
    </row>
    <row r="9" spans="1:12" x14ac:dyDescent="0.2">
      <c r="A9" t="s">
        <v>132</v>
      </c>
      <c r="C9" t="s">
        <v>63</v>
      </c>
      <c r="D9" t="s">
        <v>104</v>
      </c>
      <c r="E9">
        <v>39.942610000000002</v>
      </c>
      <c r="F9">
        <v>-75.119217000000006</v>
      </c>
      <c r="G9" t="s">
        <v>104</v>
      </c>
      <c r="H9" t="s">
        <v>64</v>
      </c>
      <c r="I9">
        <v>0</v>
      </c>
      <c r="L9">
        <v>1</v>
      </c>
    </row>
    <row r="10" spans="1:12" x14ac:dyDescent="0.2">
      <c r="A10" t="s">
        <v>128</v>
      </c>
      <c r="C10" t="s">
        <v>65</v>
      </c>
      <c r="D10" t="s">
        <v>104</v>
      </c>
      <c r="E10">
        <v>39.945686000000002</v>
      </c>
      <c r="F10">
        <v>-75.121099999999998</v>
      </c>
      <c r="G10" t="s">
        <v>104</v>
      </c>
      <c r="H10" t="s">
        <v>66</v>
      </c>
      <c r="I10">
        <v>0</v>
      </c>
      <c r="L10">
        <v>2</v>
      </c>
    </row>
    <row r="11" spans="1:12" x14ac:dyDescent="0.2">
      <c r="A11" t="s">
        <v>141</v>
      </c>
      <c r="C11" t="s">
        <v>142</v>
      </c>
      <c r="D11" t="s">
        <v>80</v>
      </c>
      <c r="E11">
        <v>39.955274000000003</v>
      </c>
      <c r="F11">
        <v>-75.151155000000003</v>
      </c>
      <c r="G11" t="s">
        <v>99</v>
      </c>
      <c r="L11">
        <v>1</v>
      </c>
    </row>
    <row r="12" spans="1:12" x14ac:dyDescent="0.2">
      <c r="A12" t="s">
        <v>130</v>
      </c>
      <c r="C12" t="s">
        <v>43</v>
      </c>
      <c r="D12" t="s">
        <v>80</v>
      </c>
      <c r="E12">
        <v>39.951152</v>
      </c>
      <c r="F12">
        <v>-75.153587000000002</v>
      </c>
      <c r="G12" t="s">
        <v>99</v>
      </c>
      <c r="H12" t="s">
        <v>44</v>
      </c>
      <c r="I12">
        <v>0</v>
      </c>
      <c r="L12">
        <v>1</v>
      </c>
    </row>
    <row r="13" spans="1:12" x14ac:dyDescent="0.2">
      <c r="A13" s="9" t="s">
        <v>131</v>
      </c>
      <c r="C13" t="s">
        <v>45</v>
      </c>
      <c r="D13" t="s">
        <v>80</v>
      </c>
      <c r="E13">
        <v>39.947352000000002</v>
      </c>
      <c r="F13">
        <v>-75.157641999999996</v>
      </c>
      <c r="G13" t="s">
        <v>99</v>
      </c>
      <c r="H13" t="s">
        <v>46</v>
      </c>
      <c r="I13">
        <v>0</v>
      </c>
      <c r="L13">
        <v>1</v>
      </c>
    </row>
    <row r="14" spans="1:12" x14ac:dyDescent="0.2">
      <c r="A14" t="s">
        <v>139</v>
      </c>
      <c r="C14" t="s">
        <v>47</v>
      </c>
      <c r="D14" t="s">
        <v>80</v>
      </c>
      <c r="E14">
        <v>39.947944</v>
      </c>
      <c r="F14">
        <v>-75.162362999999999</v>
      </c>
      <c r="G14" t="s">
        <v>99</v>
      </c>
      <c r="H14" t="s">
        <v>48</v>
      </c>
      <c r="I14">
        <v>0</v>
      </c>
      <c r="L14">
        <v>2</v>
      </c>
    </row>
    <row r="15" spans="1:12" x14ac:dyDescent="0.2">
      <c r="A15" t="s">
        <v>140</v>
      </c>
      <c r="C15" t="s">
        <v>49</v>
      </c>
      <c r="D15" t="s">
        <v>80</v>
      </c>
      <c r="E15">
        <v>39.948635000000003</v>
      </c>
      <c r="F15">
        <v>-75.167792000000006</v>
      </c>
      <c r="G15" t="s">
        <v>99</v>
      </c>
      <c r="H15" t="s">
        <v>50</v>
      </c>
      <c r="I15">
        <v>0</v>
      </c>
      <c r="L15">
        <v>1</v>
      </c>
    </row>
  </sheetData>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E228D-7B1C-2D42-88AF-AD84EC74C266}">
  <dimension ref="A1:E391"/>
  <sheetViews>
    <sheetView workbookViewId="0">
      <selection activeCell="G3" sqref="G3"/>
    </sheetView>
  </sheetViews>
  <sheetFormatPr baseColWidth="10" defaultRowHeight="16" x14ac:dyDescent="0.2"/>
  <cols>
    <col min="2" max="2" width="14.1640625" customWidth="1"/>
    <col min="3" max="3" width="14.5" customWidth="1"/>
    <col min="4" max="4" width="19.6640625" customWidth="1"/>
    <col min="5" max="5" width="20.1640625" customWidth="1"/>
  </cols>
  <sheetData>
    <row r="1" spans="1:5" x14ac:dyDescent="0.2">
      <c r="A1" t="s">
        <v>24</v>
      </c>
      <c r="B1" t="s">
        <v>25</v>
      </c>
      <c r="C1" t="s">
        <v>26</v>
      </c>
      <c r="D1" t="s">
        <v>27</v>
      </c>
      <c r="E1" t="s">
        <v>28</v>
      </c>
    </row>
    <row r="2" spans="1:5" x14ac:dyDescent="0.2">
      <c r="A2" t="s">
        <v>87</v>
      </c>
      <c r="B2">
        <v>39.833809000000002</v>
      </c>
      <c r="C2">
        <v>-75.000325000000004</v>
      </c>
      <c r="D2">
        <v>1</v>
      </c>
    </row>
    <row r="3" spans="1:5" x14ac:dyDescent="0.2">
      <c r="A3" t="s">
        <v>87</v>
      </c>
      <c r="B3">
        <v>39.834167270534998</v>
      </c>
      <c r="C3">
        <v>-75.0006955862045</v>
      </c>
      <c r="D3">
        <v>2</v>
      </c>
    </row>
    <row r="4" spans="1:5" x14ac:dyDescent="0.2">
      <c r="A4" t="s">
        <v>87</v>
      </c>
      <c r="B4">
        <v>39.834735737869998</v>
      </c>
      <c r="C4">
        <v>-75.001124739646897</v>
      </c>
      <c r="D4">
        <v>3</v>
      </c>
    </row>
    <row r="5" spans="1:5" x14ac:dyDescent="0.2">
      <c r="A5" t="s">
        <v>87</v>
      </c>
      <c r="B5">
        <v>39.835057043412903</v>
      </c>
      <c r="C5">
        <v>-75.001355409622093</v>
      </c>
      <c r="D5">
        <v>4</v>
      </c>
    </row>
    <row r="6" spans="1:5" x14ac:dyDescent="0.2">
      <c r="A6" t="s">
        <v>87</v>
      </c>
      <c r="B6">
        <v>39.836078620280297</v>
      </c>
      <c r="C6">
        <v>-75.001838207244802</v>
      </c>
      <c r="D6">
        <v>5</v>
      </c>
    </row>
    <row r="7" spans="1:5" x14ac:dyDescent="0.2">
      <c r="A7" t="s">
        <v>87</v>
      </c>
      <c r="B7">
        <v>39.837347331687297</v>
      </c>
      <c r="C7">
        <v>-75.002347826957703</v>
      </c>
      <c r="D7">
        <v>6</v>
      </c>
    </row>
    <row r="8" spans="1:5" x14ac:dyDescent="0.2">
      <c r="A8" t="s">
        <v>87</v>
      </c>
      <c r="B8">
        <v>39.8381299666461</v>
      </c>
      <c r="C8">
        <v>-75.002664327621403</v>
      </c>
      <c r="D8">
        <v>7</v>
      </c>
    </row>
    <row r="9" spans="1:5" x14ac:dyDescent="0.2">
      <c r="A9" t="s">
        <v>87</v>
      </c>
      <c r="B9">
        <v>39.838776663540202</v>
      </c>
      <c r="C9">
        <v>-75.002927184104905</v>
      </c>
      <c r="D9">
        <v>8</v>
      </c>
    </row>
    <row r="10" spans="1:5" x14ac:dyDescent="0.2">
      <c r="A10" t="s">
        <v>87</v>
      </c>
      <c r="B10">
        <v>39.840086515022897</v>
      </c>
      <c r="C10">
        <v>-75.003485083580003</v>
      </c>
      <c r="D10">
        <v>9</v>
      </c>
    </row>
    <row r="11" spans="1:5" x14ac:dyDescent="0.2">
      <c r="A11" t="s">
        <v>87</v>
      </c>
      <c r="B11">
        <v>39.841252179451097</v>
      </c>
      <c r="C11">
        <v>-75.003967881202698</v>
      </c>
      <c r="D11">
        <v>10</v>
      </c>
    </row>
    <row r="12" spans="1:5" x14ac:dyDescent="0.2">
      <c r="A12" t="s">
        <v>87</v>
      </c>
      <c r="B12">
        <v>39.842516676437697</v>
      </c>
      <c r="C12">
        <v>-75.004520416259695</v>
      </c>
      <c r="D12">
        <v>11</v>
      </c>
    </row>
    <row r="13" spans="1:5" x14ac:dyDescent="0.2">
      <c r="A13" t="s">
        <v>87</v>
      </c>
      <c r="B13">
        <v>39.844366012833802</v>
      </c>
      <c r="C13">
        <v>-75.005276799201894</v>
      </c>
      <c r="D13">
        <v>12</v>
      </c>
    </row>
    <row r="14" spans="1:5" x14ac:dyDescent="0.2">
      <c r="A14" t="s">
        <v>87</v>
      </c>
      <c r="B14">
        <v>39.847055493350197</v>
      </c>
      <c r="C14">
        <v>-75.006435513496399</v>
      </c>
      <c r="D14">
        <v>13</v>
      </c>
    </row>
    <row r="15" spans="1:5" x14ac:dyDescent="0.2">
      <c r="A15" t="s">
        <v>87</v>
      </c>
      <c r="B15">
        <v>39.8491023933652</v>
      </c>
      <c r="C15">
        <v>-75.007304549217196</v>
      </c>
      <c r="D15">
        <v>14</v>
      </c>
    </row>
    <row r="16" spans="1:5" x14ac:dyDescent="0.2">
      <c r="A16" t="s">
        <v>87</v>
      </c>
      <c r="B16">
        <v>39.850840357137301</v>
      </c>
      <c r="C16">
        <v>-75.008044838905306</v>
      </c>
      <c r="D16">
        <v>15</v>
      </c>
    </row>
    <row r="17" spans="1:4" x14ac:dyDescent="0.2">
      <c r="A17" t="s">
        <v>87</v>
      </c>
      <c r="B17">
        <v>39.851956419675901</v>
      </c>
      <c r="C17">
        <v>-75.008479356765704</v>
      </c>
      <c r="D17">
        <v>16</v>
      </c>
    </row>
    <row r="18" spans="1:4" x14ac:dyDescent="0.2">
      <c r="A18" t="s">
        <v>87</v>
      </c>
      <c r="B18">
        <v>39.8530230455127</v>
      </c>
      <c r="C18">
        <v>-75.008790493011404</v>
      </c>
      <c r="D18">
        <v>17</v>
      </c>
    </row>
    <row r="19" spans="1:4" x14ac:dyDescent="0.2">
      <c r="A19" t="s">
        <v>87</v>
      </c>
      <c r="B19">
        <v>39.8537890291312</v>
      </c>
      <c r="C19">
        <v>-75.008951425552297</v>
      </c>
      <c r="D19">
        <v>18</v>
      </c>
    </row>
    <row r="20" spans="1:4" x14ac:dyDescent="0.2">
      <c r="A20" t="s">
        <v>87</v>
      </c>
      <c r="B20">
        <v>39.854872098906299</v>
      </c>
      <c r="C20">
        <v>-75.009101629257202</v>
      </c>
      <c r="D20">
        <v>19</v>
      </c>
    </row>
    <row r="21" spans="1:4" x14ac:dyDescent="0.2">
      <c r="A21" t="s">
        <v>87</v>
      </c>
      <c r="B21">
        <v>39.857960607063802</v>
      </c>
      <c r="C21">
        <v>-75.009139180183396</v>
      </c>
      <c r="D21">
        <v>20</v>
      </c>
    </row>
    <row r="22" spans="1:4" x14ac:dyDescent="0.2">
      <c r="A22" t="s">
        <v>87</v>
      </c>
      <c r="B22">
        <v>39.858570056253797</v>
      </c>
      <c r="C22">
        <v>-75.009128451347294</v>
      </c>
      <c r="D22">
        <v>21</v>
      </c>
    </row>
    <row r="23" spans="1:4" x14ac:dyDescent="0.2">
      <c r="A23" t="s">
        <v>87</v>
      </c>
      <c r="B23">
        <v>39.858697999999997</v>
      </c>
      <c r="C23">
        <v>-75.009197999999998</v>
      </c>
      <c r="D23">
        <v>22</v>
      </c>
    </row>
    <row r="24" spans="1:4" x14ac:dyDescent="0.2">
      <c r="A24" t="s">
        <v>87</v>
      </c>
      <c r="B24">
        <v>39.858990078896603</v>
      </c>
      <c r="C24">
        <v>-75.009144544601398</v>
      </c>
      <c r="D24">
        <v>23</v>
      </c>
    </row>
    <row r="25" spans="1:4" x14ac:dyDescent="0.2">
      <c r="A25" t="s">
        <v>87</v>
      </c>
      <c r="B25">
        <v>39.8606824970255</v>
      </c>
      <c r="C25">
        <v>-75.009235739707904</v>
      </c>
      <c r="D25">
        <v>24</v>
      </c>
    </row>
    <row r="26" spans="1:4" x14ac:dyDescent="0.2">
      <c r="A26" t="s">
        <v>87</v>
      </c>
      <c r="B26">
        <v>39.862918401501602</v>
      </c>
      <c r="C26">
        <v>-75.009294748306203</v>
      </c>
      <c r="D26">
        <v>25</v>
      </c>
    </row>
    <row r="27" spans="1:4" x14ac:dyDescent="0.2">
      <c r="A27" t="s">
        <v>87</v>
      </c>
      <c r="B27">
        <v>39.864565430019297</v>
      </c>
      <c r="C27">
        <v>-75.009337663650498</v>
      </c>
      <c r="D27">
        <v>26</v>
      </c>
    </row>
    <row r="28" spans="1:4" x14ac:dyDescent="0.2">
      <c r="A28" t="s">
        <v>87</v>
      </c>
      <c r="B28">
        <v>39.8656071551449</v>
      </c>
      <c r="C28">
        <v>-75.009444952011094</v>
      </c>
      <c r="D28">
        <v>27</v>
      </c>
    </row>
    <row r="29" spans="1:4" x14ac:dyDescent="0.2">
      <c r="A29" t="s">
        <v>87</v>
      </c>
      <c r="B29">
        <v>39.866706507985199</v>
      </c>
      <c r="C29">
        <v>-75.009718537330599</v>
      </c>
      <c r="D29">
        <v>28</v>
      </c>
    </row>
    <row r="30" spans="1:4" x14ac:dyDescent="0.2">
      <c r="A30" t="s">
        <v>87</v>
      </c>
      <c r="B30">
        <v>39.868024061214797</v>
      </c>
      <c r="C30">
        <v>-75.010153055190997</v>
      </c>
      <c r="D30">
        <v>29</v>
      </c>
    </row>
    <row r="31" spans="1:4" x14ac:dyDescent="0.2">
      <c r="A31" t="s">
        <v>87</v>
      </c>
      <c r="B31">
        <v>39.868724001075996</v>
      </c>
      <c r="C31">
        <v>-75.010384321394596</v>
      </c>
      <c r="D31">
        <v>30</v>
      </c>
    </row>
    <row r="32" spans="1:4" x14ac:dyDescent="0.2">
      <c r="A32" t="s">
        <v>87</v>
      </c>
      <c r="B32">
        <v>39.870156999999999</v>
      </c>
      <c r="C32">
        <v>-75.011246999999997</v>
      </c>
      <c r="D32">
        <v>31</v>
      </c>
    </row>
    <row r="33" spans="1:4" x14ac:dyDescent="0.2">
      <c r="A33" t="s">
        <v>87</v>
      </c>
      <c r="B33">
        <v>39.870749669137801</v>
      </c>
      <c r="C33">
        <v>-75.011540055365899</v>
      </c>
      <c r="D33">
        <v>32</v>
      </c>
    </row>
    <row r="34" spans="1:4" x14ac:dyDescent="0.2">
      <c r="A34" t="s">
        <v>87</v>
      </c>
      <c r="B34">
        <v>39.8715895627425</v>
      </c>
      <c r="C34">
        <v>-75.012009143829303</v>
      </c>
      <c r="D34">
        <v>33</v>
      </c>
    </row>
    <row r="35" spans="1:4" x14ac:dyDescent="0.2">
      <c r="A35" t="s">
        <v>87</v>
      </c>
      <c r="B35">
        <v>39.8724294460633</v>
      </c>
      <c r="C35">
        <v>-75.012693405242302</v>
      </c>
      <c r="D35">
        <v>34</v>
      </c>
    </row>
    <row r="36" spans="1:4" x14ac:dyDescent="0.2">
      <c r="A36" t="s">
        <v>87</v>
      </c>
      <c r="B36">
        <v>39.873302255088099</v>
      </c>
      <c r="C36">
        <v>-75.013417601676295</v>
      </c>
      <c r="D36">
        <v>35</v>
      </c>
    </row>
    <row r="37" spans="1:4" x14ac:dyDescent="0.2">
      <c r="A37" t="s">
        <v>87</v>
      </c>
      <c r="B37">
        <v>39.874146234384703</v>
      </c>
      <c r="C37">
        <v>-75.014310479164095</v>
      </c>
      <c r="D37">
        <v>36</v>
      </c>
    </row>
    <row r="38" spans="1:4" x14ac:dyDescent="0.2">
      <c r="A38" t="s">
        <v>87</v>
      </c>
      <c r="B38">
        <v>39.875105476292603</v>
      </c>
      <c r="C38">
        <v>-75.015501379966693</v>
      </c>
      <c r="D38">
        <v>37</v>
      </c>
    </row>
    <row r="39" spans="1:4" x14ac:dyDescent="0.2">
      <c r="A39" t="s">
        <v>87</v>
      </c>
      <c r="B39">
        <v>39.875986484937897</v>
      </c>
      <c r="C39">
        <v>-75.0167220831826</v>
      </c>
      <c r="D39">
        <v>38</v>
      </c>
    </row>
    <row r="40" spans="1:4" x14ac:dyDescent="0.2">
      <c r="A40" t="s">
        <v>87</v>
      </c>
      <c r="B40">
        <v>39.876612241213998</v>
      </c>
      <c r="C40">
        <v>-75.017716884612994</v>
      </c>
      <c r="D40">
        <v>39</v>
      </c>
    </row>
    <row r="41" spans="1:4" x14ac:dyDescent="0.2">
      <c r="A41" t="s">
        <v>87</v>
      </c>
      <c r="B41">
        <v>39.877773168656397</v>
      </c>
      <c r="C41">
        <v>-75.0199407340005</v>
      </c>
      <c r="D41">
        <v>40</v>
      </c>
    </row>
    <row r="42" spans="1:4" x14ac:dyDescent="0.2">
      <c r="A42" t="s">
        <v>87</v>
      </c>
      <c r="B42">
        <v>39.879102859276202</v>
      </c>
      <c r="C42">
        <v>-75.022386908622096</v>
      </c>
      <c r="D42">
        <v>41</v>
      </c>
    </row>
    <row r="43" spans="1:4" x14ac:dyDescent="0.2">
      <c r="A43" t="s">
        <v>87</v>
      </c>
      <c r="B43">
        <v>39.879666837913199</v>
      </c>
      <c r="C43">
        <v>-75.0234168768838</v>
      </c>
      <c r="D43">
        <v>42</v>
      </c>
    </row>
    <row r="44" spans="1:4" x14ac:dyDescent="0.2">
      <c r="A44" t="s">
        <v>87</v>
      </c>
      <c r="B44">
        <v>39.880053798674503</v>
      </c>
      <c r="C44">
        <v>-75.024033784957197</v>
      </c>
      <c r="D44">
        <v>43</v>
      </c>
    </row>
    <row r="45" spans="1:4" x14ac:dyDescent="0.2">
      <c r="A45" t="s">
        <v>87</v>
      </c>
      <c r="B45">
        <v>39.881058239821897</v>
      </c>
      <c r="C45">
        <v>-75.025423169226997</v>
      </c>
      <c r="D45">
        <v>44</v>
      </c>
    </row>
    <row r="46" spans="1:4" x14ac:dyDescent="0.2">
      <c r="A46" t="s">
        <v>87</v>
      </c>
      <c r="B46">
        <v>39.881576920883298</v>
      </c>
      <c r="C46">
        <v>-75.026082992644604</v>
      </c>
      <c r="D46">
        <v>45</v>
      </c>
    </row>
    <row r="47" spans="1:4" x14ac:dyDescent="0.2">
      <c r="A47" t="s">
        <v>87</v>
      </c>
      <c r="B47">
        <v>39.883095892850697</v>
      </c>
      <c r="C47">
        <v>-75.027941465377793</v>
      </c>
      <c r="D47">
        <v>46</v>
      </c>
    </row>
    <row r="48" spans="1:4" x14ac:dyDescent="0.2">
      <c r="A48" t="s">
        <v>87</v>
      </c>
      <c r="B48">
        <v>39.8838944716627</v>
      </c>
      <c r="C48">
        <v>-75.028872490020106</v>
      </c>
      <c r="D48">
        <v>47</v>
      </c>
    </row>
    <row r="49" spans="1:4" x14ac:dyDescent="0.2">
      <c r="A49" t="s">
        <v>87</v>
      </c>
      <c r="B49">
        <v>39.884767134780297</v>
      </c>
      <c r="C49">
        <v>-75.029899477958594</v>
      </c>
      <c r="D49">
        <v>48</v>
      </c>
    </row>
    <row r="50" spans="1:4" x14ac:dyDescent="0.2">
      <c r="A50" t="s">
        <v>87</v>
      </c>
      <c r="B50">
        <v>39.885306369173499</v>
      </c>
      <c r="C50">
        <v>-75.030476451010998</v>
      </c>
      <c r="D50">
        <v>49</v>
      </c>
    </row>
    <row r="51" spans="1:4" x14ac:dyDescent="0.2">
      <c r="A51" t="s">
        <v>87</v>
      </c>
      <c r="B51">
        <v>39.886092573551601</v>
      </c>
      <c r="C51">
        <v>-75.031152367682793</v>
      </c>
      <c r="D51">
        <v>50</v>
      </c>
    </row>
    <row r="52" spans="1:4" x14ac:dyDescent="0.2">
      <c r="A52" t="s">
        <v>87</v>
      </c>
      <c r="B52">
        <v>39.886220176553202</v>
      </c>
      <c r="C52">
        <v>-75.031254291625302</v>
      </c>
      <c r="D52">
        <v>51</v>
      </c>
    </row>
    <row r="53" spans="1:4" x14ac:dyDescent="0.2">
      <c r="A53" t="s">
        <v>87</v>
      </c>
      <c r="B53">
        <v>39.886681191869997</v>
      </c>
      <c r="C53">
        <v>-75.031560063453</v>
      </c>
      <c r="D53">
        <v>52</v>
      </c>
    </row>
    <row r="54" spans="1:4" x14ac:dyDescent="0.2">
      <c r="A54" t="s">
        <v>87</v>
      </c>
      <c r="B54">
        <v>39.887702000468003</v>
      </c>
      <c r="C54">
        <v>-75.032107234092095</v>
      </c>
      <c r="D54">
        <v>53</v>
      </c>
    </row>
    <row r="55" spans="1:4" x14ac:dyDescent="0.2">
      <c r="A55" t="s">
        <v>87</v>
      </c>
      <c r="B55">
        <v>39.8890109182842</v>
      </c>
      <c r="C55">
        <v>-75.032632947059</v>
      </c>
      <c r="D55">
        <v>54</v>
      </c>
    </row>
    <row r="56" spans="1:4" x14ac:dyDescent="0.2">
      <c r="A56" t="s">
        <v>87</v>
      </c>
      <c r="B56">
        <v>39.890682016028499</v>
      </c>
      <c r="C56">
        <v>-75.033292770476606</v>
      </c>
      <c r="D56">
        <v>55</v>
      </c>
    </row>
    <row r="57" spans="1:4" x14ac:dyDescent="0.2">
      <c r="A57" t="s">
        <v>87</v>
      </c>
      <c r="B57">
        <v>39.892106121362801</v>
      </c>
      <c r="C57">
        <v>-75.033839941115701</v>
      </c>
      <c r="D57">
        <v>56</v>
      </c>
    </row>
    <row r="58" spans="1:4" x14ac:dyDescent="0.2">
      <c r="A58" t="s">
        <v>87</v>
      </c>
      <c r="B58">
        <v>39.893270902283902</v>
      </c>
      <c r="C58">
        <v>-75.034328103156398</v>
      </c>
      <c r="D58">
        <v>57</v>
      </c>
    </row>
    <row r="59" spans="1:4" x14ac:dyDescent="0.2">
      <c r="A59" t="s">
        <v>87</v>
      </c>
      <c r="B59">
        <v>39.894213413699497</v>
      </c>
      <c r="C59">
        <v>-75.034794807525003</v>
      </c>
      <c r="D59">
        <v>58</v>
      </c>
    </row>
    <row r="60" spans="1:4" x14ac:dyDescent="0.2">
      <c r="A60" t="s">
        <v>87</v>
      </c>
      <c r="B60">
        <v>39.895752683950498</v>
      </c>
      <c r="C60">
        <v>-75.035749673934305</v>
      </c>
      <c r="D60">
        <v>59</v>
      </c>
    </row>
    <row r="61" spans="1:4" x14ac:dyDescent="0.2">
      <c r="A61" t="s">
        <v>87</v>
      </c>
      <c r="B61">
        <v>39.897609000000003</v>
      </c>
      <c r="C61">
        <v>-75.037141000000005</v>
      </c>
      <c r="D61">
        <v>60</v>
      </c>
    </row>
    <row r="62" spans="1:4" x14ac:dyDescent="0.2">
      <c r="A62" t="s">
        <v>87</v>
      </c>
      <c r="B62">
        <v>39.8980244848984</v>
      </c>
      <c r="C62">
        <v>-75.037278533072794</v>
      </c>
      <c r="D62">
        <v>61</v>
      </c>
    </row>
    <row r="63" spans="1:4" x14ac:dyDescent="0.2">
      <c r="A63" t="s">
        <v>87</v>
      </c>
      <c r="B63">
        <v>39.899547207869396</v>
      </c>
      <c r="C63">
        <v>-75.038090944290104</v>
      </c>
      <c r="D63">
        <v>62</v>
      </c>
    </row>
    <row r="64" spans="1:4" x14ac:dyDescent="0.2">
      <c r="A64" t="s">
        <v>87</v>
      </c>
      <c r="B64">
        <v>39.900279749028201</v>
      </c>
      <c r="C64">
        <v>-75.038517713637702</v>
      </c>
      <c r="D64">
        <v>63</v>
      </c>
    </row>
    <row r="65" spans="1:4" x14ac:dyDescent="0.2">
      <c r="A65" t="s">
        <v>87</v>
      </c>
      <c r="B65">
        <v>39.901020513023099</v>
      </c>
      <c r="C65">
        <v>-75.039027333350504</v>
      </c>
      <c r="D65">
        <v>64</v>
      </c>
    </row>
    <row r="66" spans="1:4" x14ac:dyDescent="0.2">
      <c r="A66" t="s">
        <v>87</v>
      </c>
      <c r="B66">
        <v>39.901399122639098</v>
      </c>
      <c r="C66">
        <v>-75.039317011924098</v>
      </c>
      <c r="D66">
        <v>65</v>
      </c>
    </row>
    <row r="67" spans="1:4" x14ac:dyDescent="0.2">
      <c r="A67" t="s">
        <v>87</v>
      </c>
      <c r="B67">
        <v>39.902143989799001</v>
      </c>
      <c r="C67">
        <v>-75.039933919997495</v>
      </c>
      <c r="D67">
        <v>66</v>
      </c>
    </row>
    <row r="68" spans="1:4" x14ac:dyDescent="0.2">
      <c r="A68" t="s">
        <v>87</v>
      </c>
      <c r="B68">
        <v>39.902250986626399</v>
      </c>
      <c r="C68">
        <v>-75.040025115104001</v>
      </c>
      <c r="D68">
        <v>67</v>
      </c>
    </row>
    <row r="69" spans="1:4" x14ac:dyDescent="0.2">
      <c r="A69" t="s">
        <v>87</v>
      </c>
      <c r="B69">
        <v>39.903399134374297</v>
      </c>
      <c r="C69">
        <v>-75.041277408599797</v>
      </c>
      <c r="D69">
        <v>68</v>
      </c>
    </row>
    <row r="70" spans="1:4" x14ac:dyDescent="0.2">
      <c r="A70" t="s">
        <v>87</v>
      </c>
      <c r="B70">
        <v>39.904292124876903</v>
      </c>
      <c r="C70">
        <v>-75.042374730201104</v>
      </c>
      <c r="D70">
        <v>69</v>
      </c>
    </row>
    <row r="71" spans="1:4" x14ac:dyDescent="0.2">
      <c r="A71" t="s">
        <v>87</v>
      </c>
      <c r="B71">
        <v>39.905699487204103</v>
      </c>
      <c r="C71">
        <v>-75.044354200454094</v>
      </c>
      <c r="D71">
        <v>70</v>
      </c>
    </row>
    <row r="72" spans="1:4" x14ac:dyDescent="0.2">
      <c r="A72" t="s">
        <v>87</v>
      </c>
      <c r="B72">
        <v>39.907086</v>
      </c>
      <c r="C72">
        <v>-75.046544999999995</v>
      </c>
      <c r="D72">
        <v>71</v>
      </c>
    </row>
    <row r="73" spans="1:4" x14ac:dyDescent="0.2">
      <c r="A73" t="s">
        <v>87</v>
      </c>
      <c r="B73">
        <v>39.9074319023009</v>
      </c>
      <c r="C73">
        <v>-75.047149062247598</v>
      </c>
      <c r="D73">
        <v>72</v>
      </c>
    </row>
    <row r="74" spans="1:4" x14ac:dyDescent="0.2">
      <c r="A74" t="s">
        <v>87</v>
      </c>
      <c r="B74">
        <v>39.907678798748101</v>
      </c>
      <c r="C74">
        <v>-75.047610402198103</v>
      </c>
      <c r="D74">
        <v>73</v>
      </c>
    </row>
    <row r="75" spans="1:4" x14ac:dyDescent="0.2">
      <c r="A75" t="s">
        <v>87</v>
      </c>
      <c r="B75">
        <v>39.908094405757801</v>
      </c>
      <c r="C75">
        <v>-75.048425793738701</v>
      </c>
      <c r="D75">
        <v>74</v>
      </c>
    </row>
    <row r="76" spans="1:4" x14ac:dyDescent="0.2">
      <c r="A76" t="s">
        <v>87</v>
      </c>
      <c r="B76">
        <v>39.908905037917698</v>
      </c>
      <c r="C76">
        <v>-75.050190687270501</v>
      </c>
      <c r="D76">
        <v>75</v>
      </c>
    </row>
    <row r="77" spans="1:4" x14ac:dyDescent="0.2">
      <c r="A77" t="s">
        <v>87</v>
      </c>
      <c r="B77">
        <v>39.909538723382703</v>
      </c>
      <c r="C77">
        <v>-75.051778555007303</v>
      </c>
      <c r="D77">
        <v>76</v>
      </c>
    </row>
    <row r="78" spans="1:4" x14ac:dyDescent="0.2">
      <c r="A78" t="s">
        <v>87</v>
      </c>
      <c r="B78">
        <v>39.910180632552397</v>
      </c>
      <c r="C78">
        <v>-75.053559541793206</v>
      </c>
      <c r="D78">
        <v>77</v>
      </c>
    </row>
    <row r="79" spans="1:4" x14ac:dyDescent="0.2">
      <c r="A79" t="s">
        <v>87</v>
      </c>
      <c r="B79">
        <v>39.911534382812</v>
      </c>
      <c r="C79">
        <v>-75.057883262725198</v>
      </c>
      <c r="D79">
        <v>78</v>
      </c>
    </row>
    <row r="80" spans="1:4" x14ac:dyDescent="0.2">
      <c r="A80" t="s">
        <v>87</v>
      </c>
      <c r="B80">
        <v>39.912456069807398</v>
      </c>
      <c r="C80">
        <v>-75.060785412879298</v>
      </c>
      <c r="D80">
        <v>79</v>
      </c>
    </row>
    <row r="81" spans="1:4" x14ac:dyDescent="0.2">
      <c r="A81" t="s">
        <v>87</v>
      </c>
      <c r="B81">
        <v>39.913464150757697</v>
      </c>
      <c r="C81">
        <v>-75.063998699279097</v>
      </c>
      <c r="D81">
        <v>80</v>
      </c>
    </row>
    <row r="82" spans="1:4" x14ac:dyDescent="0.2">
      <c r="A82" t="s">
        <v>87</v>
      </c>
      <c r="B82">
        <v>39.913587999999997</v>
      </c>
      <c r="C82">
        <v>-75.064559000000003</v>
      </c>
      <c r="D82">
        <v>81</v>
      </c>
    </row>
    <row r="83" spans="1:4" x14ac:dyDescent="0.2">
      <c r="A83" t="s">
        <v>87</v>
      </c>
      <c r="B83">
        <v>39.913871493544903</v>
      </c>
      <c r="C83">
        <v>-75.065270066352198</v>
      </c>
      <c r="D83">
        <v>82</v>
      </c>
    </row>
    <row r="84" spans="1:4" x14ac:dyDescent="0.2">
      <c r="A84" t="s">
        <v>87</v>
      </c>
      <c r="B84">
        <v>39.915081163906102</v>
      </c>
      <c r="C84">
        <v>-75.069105625243495</v>
      </c>
      <c r="D84">
        <v>83</v>
      </c>
    </row>
    <row r="85" spans="1:4" x14ac:dyDescent="0.2">
      <c r="A85" t="s">
        <v>87</v>
      </c>
      <c r="B85">
        <v>39.916039833064097</v>
      </c>
      <c r="C85">
        <v>-75.072136521430295</v>
      </c>
      <c r="D85">
        <v>84</v>
      </c>
    </row>
    <row r="86" spans="1:4" x14ac:dyDescent="0.2">
      <c r="A86" t="s">
        <v>87</v>
      </c>
      <c r="B86">
        <v>39.916994374429301</v>
      </c>
      <c r="C86">
        <v>-75.075145959945004</v>
      </c>
      <c r="D86">
        <v>85</v>
      </c>
    </row>
    <row r="87" spans="1:4" x14ac:dyDescent="0.2">
      <c r="A87" t="s">
        <v>87</v>
      </c>
      <c r="B87">
        <v>39.917841930179598</v>
      </c>
      <c r="C87">
        <v>-75.077860355468104</v>
      </c>
      <c r="D87">
        <v>86</v>
      </c>
    </row>
    <row r="88" spans="1:4" x14ac:dyDescent="0.2">
      <c r="A88" t="s">
        <v>87</v>
      </c>
      <c r="B88">
        <v>39.918796446426803</v>
      </c>
      <c r="C88">
        <v>-75.080885887236903</v>
      </c>
      <c r="D88">
        <v>87</v>
      </c>
    </row>
    <row r="89" spans="1:4" x14ac:dyDescent="0.2">
      <c r="A89" t="s">
        <v>87</v>
      </c>
      <c r="B89">
        <v>39.919759177785302</v>
      </c>
      <c r="C89">
        <v>-75.0839060545877</v>
      </c>
      <c r="D89">
        <v>88</v>
      </c>
    </row>
    <row r="90" spans="1:4" x14ac:dyDescent="0.2">
      <c r="A90" t="s">
        <v>87</v>
      </c>
      <c r="B90">
        <v>39.920882347263301</v>
      </c>
      <c r="C90">
        <v>-75.087425112815197</v>
      </c>
      <c r="D90">
        <v>89</v>
      </c>
    </row>
    <row r="91" spans="1:4" x14ac:dyDescent="0.2">
      <c r="A91" t="s">
        <v>87</v>
      </c>
      <c r="B91">
        <v>39.921301988274898</v>
      </c>
      <c r="C91">
        <v>-75.088616013617795</v>
      </c>
      <c r="D91">
        <v>90</v>
      </c>
    </row>
    <row r="92" spans="1:4" x14ac:dyDescent="0.2">
      <c r="A92" t="s">
        <v>87</v>
      </c>
      <c r="B92">
        <v>39.921853277459903</v>
      </c>
      <c r="C92">
        <v>-75.089946389289196</v>
      </c>
      <c r="D92">
        <v>91</v>
      </c>
    </row>
    <row r="93" spans="1:4" x14ac:dyDescent="0.2">
      <c r="A93" t="s">
        <v>87</v>
      </c>
      <c r="B93">
        <v>39.922758369481301</v>
      </c>
      <c r="C93">
        <v>-75.091679096312802</v>
      </c>
      <c r="D93">
        <v>92</v>
      </c>
    </row>
    <row r="94" spans="1:4" x14ac:dyDescent="0.2">
      <c r="A94" t="s">
        <v>87</v>
      </c>
      <c r="B94">
        <v>39.922868999999999</v>
      </c>
      <c r="C94">
        <v>-75.092025000000007</v>
      </c>
      <c r="D94">
        <v>93</v>
      </c>
    </row>
    <row r="95" spans="1:4" x14ac:dyDescent="0.2">
      <c r="A95" t="s">
        <v>87</v>
      </c>
      <c r="B95">
        <v>39.923470092531304</v>
      </c>
      <c r="C95">
        <v>-75.092902183623593</v>
      </c>
      <c r="D95">
        <v>94</v>
      </c>
    </row>
    <row r="96" spans="1:4" x14ac:dyDescent="0.2">
      <c r="A96" t="s">
        <v>87</v>
      </c>
      <c r="B96">
        <v>39.924243517284097</v>
      </c>
      <c r="C96">
        <v>-75.094184279532698</v>
      </c>
      <c r="D96">
        <v>95</v>
      </c>
    </row>
    <row r="97" spans="1:4" x14ac:dyDescent="0.2">
      <c r="A97" t="s">
        <v>87</v>
      </c>
      <c r="B97">
        <v>39.925358385463099</v>
      </c>
      <c r="C97">
        <v>-75.095906257720301</v>
      </c>
      <c r="D97">
        <v>96</v>
      </c>
    </row>
    <row r="98" spans="1:4" x14ac:dyDescent="0.2">
      <c r="A98" t="s">
        <v>87</v>
      </c>
      <c r="B98">
        <v>39.927176692397602</v>
      </c>
      <c r="C98">
        <v>-75.098730325698796</v>
      </c>
      <c r="D98">
        <v>97</v>
      </c>
    </row>
    <row r="99" spans="1:4" x14ac:dyDescent="0.2">
      <c r="A99" t="s">
        <v>87</v>
      </c>
      <c r="B99">
        <v>39.928283285421799</v>
      </c>
      <c r="C99">
        <v>-75.100500583648596</v>
      </c>
      <c r="D99">
        <v>98</v>
      </c>
    </row>
    <row r="100" spans="1:4" x14ac:dyDescent="0.2">
      <c r="A100" t="s">
        <v>87</v>
      </c>
      <c r="B100">
        <v>39.928929132563198</v>
      </c>
      <c r="C100">
        <v>-75.101619362921994</v>
      </c>
      <c r="D100">
        <v>99</v>
      </c>
    </row>
    <row r="101" spans="1:4" x14ac:dyDescent="0.2">
      <c r="A101" t="s">
        <v>87</v>
      </c>
      <c r="B101">
        <v>39.929311701563201</v>
      </c>
      <c r="C101">
        <v>-75.102303028106604</v>
      </c>
      <c r="D101">
        <v>100</v>
      </c>
    </row>
    <row r="102" spans="1:4" x14ac:dyDescent="0.2">
      <c r="A102" t="s">
        <v>87</v>
      </c>
      <c r="B102">
        <v>39.930533439858998</v>
      </c>
      <c r="C102">
        <v>-75.104687810035102</v>
      </c>
      <c r="D102">
        <v>101</v>
      </c>
    </row>
    <row r="103" spans="1:4" x14ac:dyDescent="0.2">
      <c r="A103" t="s">
        <v>87</v>
      </c>
      <c r="B103">
        <v>39.931783950750798</v>
      </c>
      <c r="C103">
        <v>-75.107091069312403</v>
      </c>
      <c r="D103">
        <v>102</v>
      </c>
    </row>
    <row r="104" spans="1:4" x14ac:dyDescent="0.2">
      <c r="A104" t="s">
        <v>87</v>
      </c>
      <c r="B104">
        <v>39.932417424524097</v>
      </c>
      <c r="C104">
        <v>-75.108201503844597</v>
      </c>
      <c r="D104">
        <v>103</v>
      </c>
    </row>
    <row r="105" spans="1:4" x14ac:dyDescent="0.2">
      <c r="A105" t="s">
        <v>87</v>
      </c>
      <c r="B105">
        <v>39.933013871744002</v>
      </c>
      <c r="C105">
        <v>-75.108997821807804</v>
      </c>
      <c r="D105">
        <v>104</v>
      </c>
    </row>
    <row r="106" spans="1:4" x14ac:dyDescent="0.2">
      <c r="A106" t="s">
        <v>87</v>
      </c>
      <c r="B106">
        <v>39.9338447757588</v>
      </c>
      <c r="C106">
        <v>-75.109859109015801</v>
      </c>
      <c r="D106">
        <v>105</v>
      </c>
    </row>
    <row r="107" spans="1:4" x14ac:dyDescent="0.2">
      <c r="A107" t="s">
        <v>87</v>
      </c>
      <c r="B107">
        <v>39.934848428543297</v>
      </c>
      <c r="C107">
        <v>-75.1106101275399</v>
      </c>
      <c r="D107">
        <v>106</v>
      </c>
    </row>
    <row r="108" spans="1:4" x14ac:dyDescent="0.2">
      <c r="A108" t="s">
        <v>87</v>
      </c>
      <c r="B108">
        <v>39.936312748006998</v>
      </c>
      <c r="C108">
        <v>-75.111275315375593</v>
      </c>
      <c r="D108">
        <v>107</v>
      </c>
    </row>
    <row r="109" spans="1:4" x14ac:dyDescent="0.2">
      <c r="A109" t="s">
        <v>87</v>
      </c>
      <c r="B109">
        <v>39.936913274458</v>
      </c>
      <c r="C109">
        <v>-75.111436247916501</v>
      </c>
      <c r="D109">
        <v>108</v>
      </c>
    </row>
    <row r="110" spans="1:4" x14ac:dyDescent="0.2">
      <c r="A110" t="s">
        <v>87</v>
      </c>
      <c r="B110">
        <v>39.938611995402397</v>
      </c>
      <c r="C110">
        <v>-75.111919045539196</v>
      </c>
      <c r="D110">
        <v>109</v>
      </c>
    </row>
    <row r="111" spans="1:4" x14ac:dyDescent="0.2">
      <c r="A111" t="s">
        <v>87</v>
      </c>
      <c r="B111">
        <v>39.940285996339</v>
      </c>
      <c r="C111">
        <v>-75.112407207579906</v>
      </c>
      <c r="D111">
        <v>110</v>
      </c>
    </row>
    <row r="112" spans="1:4" x14ac:dyDescent="0.2">
      <c r="A112" t="s">
        <v>87</v>
      </c>
      <c r="B112">
        <v>39.941314232139597</v>
      </c>
      <c r="C112">
        <v>-75.112702250571601</v>
      </c>
      <c r="D112">
        <v>111</v>
      </c>
    </row>
    <row r="113" spans="1:4" x14ac:dyDescent="0.2">
      <c r="A113" t="s">
        <v>87</v>
      </c>
      <c r="B113">
        <v>39.941585683813003</v>
      </c>
      <c r="C113">
        <v>-75.112841725440305</v>
      </c>
      <c r="D113">
        <v>112</v>
      </c>
    </row>
    <row r="114" spans="1:4" x14ac:dyDescent="0.2">
      <c r="A114" t="s">
        <v>87</v>
      </c>
      <c r="B114">
        <v>39.941914714700502</v>
      </c>
      <c r="C114">
        <v>-75.113109946341794</v>
      </c>
      <c r="D114">
        <v>113</v>
      </c>
    </row>
    <row r="115" spans="1:4" x14ac:dyDescent="0.2">
      <c r="A115" t="s">
        <v>87</v>
      </c>
      <c r="B115">
        <v>39.942358903888902</v>
      </c>
      <c r="C115">
        <v>-75.113582015128401</v>
      </c>
      <c r="D115">
        <v>114</v>
      </c>
    </row>
    <row r="116" spans="1:4" x14ac:dyDescent="0.2">
      <c r="A116" t="s">
        <v>87</v>
      </c>
      <c r="B116">
        <v>39.942745510650198</v>
      </c>
      <c r="C116">
        <v>-75.114241838546107</v>
      </c>
      <c r="D116">
        <v>115</v>
      </c>
    </row>
    <row r="117" spans="1:4" x14ac:dyDescent="0.2">
      <c r="A117" t="s">
        <v>87</v>
      </c>
      <c r="B117">
        <v>39.942901797869801</v>
      </c>
      <c r="C117">
        <v>-75.114772915931098</v>
      </c>
      <c r="D117">
        <v>116</v>
      </c>
    </row>
    <row r="118" spans="1:4" x14ac:dyDescent="0.2">
      <c r="A118" t="s">
        <v>87</v>
      </c>
      <c r="B118">
        <v>39.942955264468303</v>
      </c>
      <c r="C118">
        <v>-75.115338563918996</v>
      </c>
      <c r="D118">
        <v>117</v>
      </c>
    </row>
    <row r="119" spans="1:4" x14ac:dyDescent="0.2">
      <c r="A119" t="s">
        <v>87</v>
      </c>
      <c r="B119">
        <v>39.942955264468303</v>
      </c>
      <c r="C119">
        <v>-75.119000077338498</v>
      </c>
      <c r="D119">
        <v>118</v>
      </c>
    </row>
    <row r="120" spans="1:4" x14ac:dyDescent="0.2">
      <c r="A120" t="s">
        <v>87</v>
      </c>
      <c r="B120">
        <v>39.942610000000002</v>
      </c>
      <c r="C120">
        <v>-75.119217000000006</v>
      </c>
      <c r="D120">
        <v>119</v>
      </c>
    </row>
    <row r="121" spans="1:4" x14ac:dyDescent="0.2">
      <c r="A121" t="s">
        <v>87</v>
      </c>
      <c r="B121">
        <v>39.943181468845602</v>
      </c>
      <c r="C121">
        <v>-75.120105147452705</v>
      </c>
      <c r="D121">
        <v>120</v>
      </c>
    </row>
    <row r="122" spans="1:4" x14ac:dyDescent="0.2">
      <c r="A122" t="s">
        <v>87</v>
      </c>
      <c r="B122">
        <v>39.943946445380398</v>
      </c>
      <c r="C122">
        <v>-75.121119022460306</v>
      </c>
      <c r="D122">
        <v>121</v>
      </c>
    </row>
    <row r="123" spans="1:4" x14ac:dyDescent="0.2">
      <c r="A123" t="s">
        <v>87</v>
      </c>
      <c r="B123">
        <v>39.944057489650298</v>
      </c>
      <c r="C123">
        <v>-75.121287703514099</v>
      </c>
      <c r="D123">
        <v>122</v>
      </c>
    </row>
    <row r="124" spans="1:4" x14ac:dyDescent="0.2">
      <c r="A124" t="s">
        <v>87</v>
      </c>
      <c r="B124">
        <v>39.944164420999201</v>
      </c>
      <c r="C124">
        <v>-75.1213520765304</v>
      </c>
      <c r="D124">
        <v>123</v>
      </c>
    </row>
    <row r="125" spans="1:4" x14ac:dyDescent="0.2">
      <c r="A125" t="s">
        <v>87</v>
      </c>
      <c r="B125">
        <v>39.9442836903835</v>
      </c>
      <c r="C125">
        <v>-75.121368169784503</v>
      </c>
      <c r="D125">
        <v>124</v>
      </c>
    </row>
    <row r="126" spans="1:4" x14ac:dyDescent="0.2">
      <c r="A126" t="s">
        <v>87</v>
      </c>
      <c r="B126">
        <v>39.944333043171298</v>
      </c>
      <c r="C126">
        <v>-75.121371150107706</v>
      </c>
      <c r="D126">
        <v>125</v>
      </c>
    </row>
    <row r="127" spans="1:4" x14ac:dyDescent="0.2">
      <c r="A127" t="s">
        <v>87</v>
      </c>
      <c r="B127">
        <v>39.945686000000002</v>
      </c>
      <c r="C127">
        <v>-75.121099999999998</v>
      </c>
      <c r="D127">
        <v>126</v>
      </c>
    </row>
    <row r="128" spans="1:4" x14ac:dyDescent="0.2">
      <c r="A128" t="s">
        <v>87</v>
      </c>
      <c r="B128">
        <v>39.946623795896897</v>
      </c>
      <c r="C128">
        <v>-75.120679140181807</v>
      </c>
      <c r="D128">
        <v>127</v>
      </c>
    </row>
    <row r="129" spans="1:4" x14ac:dyDescent="0.2">
      <c r="A129" t="s">
        <v>87</v>
      </c>
      <c r="B129">
        <v>39.948075525868802</v>
      </c>
      <c r="C129">
        <v>-75.120217800231302</v>
      </c>
      <c r="D129">
        <v>128</v>
      </c>
    </row>
    <row r="130" spans="1:4" x14ac:dyDescent="0.2">
      <c r="A130" t="s">
        <v>87</v>
      </c>
      <c r="B130">
        <v>39.9485813622194</v>
      </c>
      <c r="C130">
        <v>-75.120099783034604</v>
      </c>
      <c r="D130">
        <v>129</v>
      </c>
    </row>
    <row r="131" spans="1:4" x14ac:dyDescent="0.2">
      <c r="A131" t="s">
        <v>87</v>
      </c>
      <c r="B131">
        <v>39.949037845471203</v>
      </c>
      <c r="C131">
        <v>-75.120115876288693</v>
      </c>
      <c r="D131">
        <v>130</v>
      </c>
    </row>
    <row r="132" spans="1:4" x14ac:dyDescent="0.2">
      <c r="A132" t="s">
        <v>87</v>
      </c>
      <c r="B132">
        <v>39.949395627512096</v>
      </c>
      <c r="C132">
        <v>-75.120292902083705</v>
      </c>
      <c r="D132">
        <v>131</v>
      </c>
    </row>
    <row r="133" spans="1:4" x14ac:dyDescent="0.2">
      <c r="A133" t="s">
        <v>87</v>
      </c>
      <c r="B133">
        <v>39.949872667322403</v>
      </c>
      <c r="C133">
        <v>-75.120654702186499</v>
      </c>
      <c r="D133">
        <v>132</v>
      </c>
    </row>
    <row r="134" spans="1:4" x14ac:dyDescent="0.2">
      <c r="A134" t="s">
        <v>87</v>
      </c>
      <c r="B134">
        <v>39.950028938260999</v>
      </c>
      <c r="C134">
        <v>-75.120909810157102</v>
      </c>
      <c r="D134">
        <v>133</v>
      </c>
    </row>
    <row r="135" spans="1:4" x14ac:dyDescent="0.2">
      <c r="A135" t="s">
        <v>87</v>
      </c>
      <c r="B135">
        <v>39.950510086014397</v>
      </c>
      <c r="C135">
        <v>-75.121891498656595</v>
      </c>
      <c r="D135">
        <v>134</v>
      </c>
    </row>
    <row r="136" spans="1:4" x14ac:dyDescent="0.2">
      <c r="A136" t="s">
        <v>87</v>
      </c>
      <c r="B136">
        <v>39.950826736962703</v>
      </c>
      <c r="C136">
        <v>-75.122795104980398</v>
      </c>
      <c r="D136">
        <v>135</v>
      </c>
    </row>
    <row r="137" spans="1:4" x14ac:dyDescent="0.2">
      <c r="A137" t="s">
        <v>87</v>
      </c>
      <c r="B137">
        <v>39.951357226824904</v>
      </c>
      <c r="C137">
        <v>-75.125786066146205</v>
      </c>
      <c r="D137">
        <v>136</v>
      </c>
    </row>
    <row r="138" spans="1:4" x14ac:dyDescent="0.2">
      <c r="A138" t="s">
        <v>87</v>
      </c>
      <c r="B138">
        <v>39.951768456445301</v>
      </c>
      <c r="C138">
        <v>-75.128055214972804</v>
      </c>
      <c r="D138">
        <v>137</v>
      </c>
    </row>
    <row r="139" spans="1:4" x14ac:dyDescent="0.2">
      <c r="A139" t="s">
        <v>87</v>
      </c>
      <c r="B139">
        <v>39.9522866022469</v>
      </c>
      <c r="C139">
        <v>-75.130946636290901</v>
      </c>
      <c r="D139">
        <v>138</v>
      </c>
    </row>
    <row r="140" spans="1:4" x14ac:dyDescent="0.2">
      <c r="A140" t="s">
        <v>87</v>
      </c>
      <c r="B140">
        <v>39.952932222872199</v>
      </c>
      <c r="C140">
        <v>-75.134535431952798</v>
      </c>
      <c r="D140">
        <v>139</v>
      </c>
    </row>
    <row r="141" spans="1:4" x14ac:dyDescent="0.2">
      <c r="A141" t="s">
        <v>87</v>
      </c>
      <c r="B141">
        <v>39.953565500876998</v>
      </c>
      <c r="C141">
        <v>-75.138145685286801</v>
      </c>
      <c r="D141">
        <v>140</v>
      </c>
    </row>
    <row r="142" spans="1:4" x14ac:dyDescent="0.2">
      <c r="A142" t="s">
        <v>87</v>
      </c>
      <c r="B142">
        <v>39.953935595697601</v>
      </c>
      <c r="C142">
        <v>-75.140205621810296</v>
      </c>
      <c r="D142">
        <v>141</v>
      </c>
    </row>
    <row r="143" spans="1:4" x14ac:dyDescent="0.2">
      <c r="A143" t="s">
        <v>87</v>
      </c>
      <c r="B143">
        <v>39.9546387703394</v>
      </c>
      <c r="C143">
        <v>-75.1442021132425</v>
      </c>
      <c r="D143">
        <v>142</v>
      </c>
    </row>
    <row r="144" spans="1:4" x14ac:dyDescent="0.2">
      <c r="A144" t="s">
        <v>87</v>
      </c>
      <c r="B144">
        <v>39.955041756056502</v>
      </c>
      <c r="C144">
        <v>-75.146594643683699</v>
      </c>
      <c r="D144">
        <v>143</v>
      </c>
    </row>
    <row r="145" spans="1:4" x14ac:dyDescent="0.2">
      <c r="A145" t="s">
        <v>87</v>
      </c>
      <c r="B145">
        <v>39.955341937751598</v>
      </c>
      <c r="C145">
        <v>-75.148214697928694</v>
      </c>
      <c r="D145">
        <v>144</v>
      </c>
    </row>
    <row r="146" spans="1:4" x14ac:dyDescent="0.2">
      <c r="A146" t="s">
        <v>87</v>
      </c>
      <c r="B146">
        <v>39.955605109660702</v>
      </c>
      <c r="C146">
        <v>-75.150119066329296</v>
      </c>
      <c r="D146">
        <v>145</v>
      </c>
    </row>
    <row r="147" spans="1:4" x14ac:dyDescent="0.2">
      <c r="A147" t="s">
        <v>87</v>
      </c>
      <c r="B147">
        <v>39.955609221713701</v>
      </c>
      <c r="C147">
        <v>-75.150614976882906</v>
      </c>
      <c r="D147">
        <v>146</v>
      </c>
    </row>
    <row r="148" spans="1:4" x14ac:dyDescent="0.2">
      <c r="A148" t="s">
        <v>87</v>
      </c>
      <c r="B148">
        <v>39.9555393167783</v>
      </c>
      <c r="C148">
        <v>-75.151191949935296</v>
      </c>
      <c r="D148">
        <v>147</v>
      </c>
    </row>
    <row r="149" spans="1:4" x14ac:dyDescent="0.2">
      <c r="A149" t="s">
        <v>87</v>
      </c>
      <c r="B149">
        <v>39.955255584248299</v>
      </c>
      <c r="C149">
        <v>-75.1519054175332</v>
      </c>
      <c r="D149">
        <v>148</v>
      </c>
    </row>
    <row r="150" spans="1:4" x14ac:dyDescent="0.2">
      <c r="A150" t="s">
        <v>87</v>
      </c>
      <c r="B150">
        <v>39.955132221911498</v>
      </c>
      <c r="C150">
        <v>-75.152111649513202</v>
      </c>
      <c r="D150">
        <v>149</v>
      </c>
    </row>
    <row r="151" spans="1:4" x14ac:dyDescent="0.2">
      <c r="A151" t="s">
        <v>87</v>
      </c>
      <c r="B151">
        <v>39.955054092316502</v>
      </c>
      <c r="C151">
        <v>-75.152227282615002</v>
      </c>
      <c r="D151">
        <v>150</v>
      </c>
    </row>
    <row r="152" spans="1:4" x14ac:dyDescent="0.2">
      <c r="A152" t="s">
        <v>87</v>
      </c>
      <c r="B152">
        <v>39.954716900408897</v>
      </c>
      <c r="C152">
        <v>-75.152522325606697</v>
      </c>
      <c r="D152">
        <v>151</v>
      </c>
    </row>
    <row r="153" spans="1:4" x14ac:dyDescent="0.2">
      <c r="A153" t="s">
        <v>87</v>
      </c>
      <c r="B153">
        <v>39.954322137038702</v>
      </c>
      <c r="C153">
        <v>-75.152760744094806</v>
      </c>
      <c r="D153">
        <v>152</v>
      </c>
    </row>
    <row r="154" spans="1:4" x14ac:dyDescent="0.2">
      <c r="A154" t="s">
        <v>87</v>
      </c>
      <c r="B154">
        <v>39.953841016100597</v>
      </c>
      <c r="C154">
        <v>-75.152972936721198</v>
      </c>
      <c r="D154">
        <v>153</v>
      </c>
    </row>
    <row r="155" spans="1:4" x14ac:dyDescent="0.2">
      <c r="A155" t="s">
        <v>87</v>
      </c>
      <c r="B155">
        <v>39.951152</v>
      </c>
      <c r="C155">
        <v>-75.153587000000002</v>
      </c>
      <c r="D155">
        <v>154</v>
      </c>
    </row>
    <row r="156" spans="1:4" x14ac:dyDescent="0.2">
      <c r="A156" t="s">
        <v>87</v>
      </c>
      <c r="B156">
        <v>39.950197545978597</v>
      </c>
      <c r="C156">
        <v>-75.153804421515801</v>
      </c>
      <c r="D156">
        <v>155</v>
      </c>
    </row>
    <row r="157" spans="1:4" x14ac:dyDescent="0.2">
      <c r="A157" t="s">
        <v>87</v>
      </c>
      <c r="B157">
        <v>39.948108425907797</v>
      </c>
      <c r="C157">
        <v>-75.154244303794201</v>
      </c>
      <c r="D157">
        <v>156</v>
      </c>
    </row>
    <row r="158" spans="1:4" x14ac:dyDescent="0.2">
      <c r="A158" t="s">
        <v>87</v>
      </c>
      <c r="B158">
        <v>39.9469610277025</v>
      </c>
      <c r="C158">
        <v>-75.154512524695704</v>
      </c>
      <c r="D158">
        <v>157</v>
      </c>
    </row>
    <row r="159" spans="1:4" x14ac:dyDescent="0.2">
      <c r="A159" t="s">
        <v>87</v>
      </c>
      <c r="B159">
        <v>39.947352000000002</v>
      </c>
      <c r="C159">
        <v>-75.157641999999996</v>
      </c>
      <c r="D159">
        <v>158</v>
      </c>
    </row>
    <row r="160" spans="1:4" x14ac:dyDescent="0.2">
      <c r="A160" t="s">
        <v>87</v>
      </c>
      <c r="B160">
        <v>39.947944</v>
      </c>
      <c r="C160">
        <v>-75.162362999999999</v>
      </c>
      <c r="D160">
        <v>159</v>
      </c>
    </row>
    <row r="161" spans="1:4" x14ac:dyDescent="0.2">
      <c r="A161" t="s">
        <v>87</v>
      </c>
      <c r="B161">
        <v>39.948635000000003</v>
      </c>
      <c r="C161">
        <v>-75.167792000000006</v>
      </c>
      <c r="D161">
        <v>160</v>
      </c>
    </row>
    <row r="162" spans="1:4" x14ac:dyDescent="0.2">
      <c r="A162" t="s">
        <v>86</v>
      </c>
      <c r="B162">
        <v>39.870156999999999</v>
      </c>
      <c r="C162">
        <v>-75.011246999999997</v>
      </c>
      <c r="D162">
        <v>1</v>
      </c>
    </row>
    <row r="163" spans="1:4" x14ac:dyDescent="0.2">
      <c r="A163" t="s">
        <v>86</v>
      </c>
      <c r="B163">
        <v>39.870749669137801</v>
      </c>
      <c r="C163">
        <v>-75.011540055365899</v>
      </c>
      <c r="D163">
        <v>2</v>
      </c>
    </row>
    <row r="164" spans="1:4" x14ac:dyDescent="0.2">
      <c r="A164" t="s">
        <v>86</v>
      </c>
      <c r="B164">
        <v>39.8715895627425</v>
      </c>
      <c r="C164">
        <v>-75.012009143829303</v>
      </c>
      <c r="D164">
        <v>3</v>
      </c>
    </row>
    <row r="165" spans="1:4" x14ac:dyDescent="0.2">
      <c r="A165" t="s">
        <v>86</v>
      </c>
      <c r="B165">
        <v>39.8724294460633</v>
      </c>
      <c r="C165">
        <v>-75.012693405242302</v>
      </c>
      <c r="D165">
        <v>4</v>
      </c>
    </row>
    <row r="166" spans="1:4" x14ac:dyDescent="0.2">
      <c r="A166" t="s">
        <v>86</v>
      </c>
      <c r="B166">
        <v>39.873302255088099</v>
      </c>
      <c r="C166">
        <v>-75.013417601676295</v>
      </c>
      <c r="D166">
        <v>5</v>
      </c>
    </row>
    <row r="167" spans="1:4" x14ac:dyDescent="0.2">
      <c r="A167" t="s">
        <v>86</v>
      </c>
      <c r="B167">
        <v>39.874146234384703</v>
      </c>
      <c r="C167">
        <v>-75.014310479164095</v>
      </c>
      <c r="D167">
        <v>6</v>
      </c>
    </row>
    <row r="168" spans="1:4" x14ac:dyDescent="0.2">
      <c r="A168" t="s">
        <v>86</v>
      </c>
      <c r="B168">
        <v>39.875105476292603</v>
      </c>
      <c r="C168">
        <v>-75.015501379966693</v>
      </c>
      <c r="D168">
        <v>7</v>
      </c>
    </row>
    <row r="169" spans="1:4" x14ac:dyDescent="0.2">
      <c r="A169" t="s">
        <v>86</v>
      </c>
      <c r="B169">
        <v>39.875986484937897</v>
      </c>
      <c r="C169">
        <v>-75.0167220831826</v>
      </c>
      <c r="D169">
        <v>8</v>
      </c>
    </row>
    <row r="170" spans="1:4" x14ac:dyDescent="0.2">
      <c r="A170" t="s">
        <v>86</v>
      </c>
      <c r="B170">
        <v>39.876612241213998</v>
      </c>
      <c r="C170">
        <v>-75.017716884612994</v>
      </c>
      <c r="D170">
        <v>9</v>
      </c>
    </row>
    <row r="171" spans="1:4" x14ac:dyDescent="0.2">
      <c r="A171" t="s">
        <v>86</v>
      </c>
      <c r="B171">
        <v>39.877773168656397</v>
      </c>
      <c r="C171">
        <v>-75.0199407340005</v>
      </c>
      <c r="D171">
        <v>10</v>
      </c>
    </row>
    <row r="172" spans="1:4" x14ac:dyDescent="0.2">
      <c r="A172" t="s">
        <v>86</v>
      </c>
      <c r="B172">
        <v>39.879102859276202</v>
      </c>
      <c r="C172">
        <v>-75.022386908622096</v>
      </c>
      <c r="D172">
        <v>11</v>
      </c>
    </row>
    <row r="173" spans="1:4" x14ac:dyDescent="0.2">
      <c r="A173" t="s">
        <v>86</v>
      </c>
      <c r="B173">
        <v>39.879666837913199</v>
      </c>
      <c r="C173">
        <v>-75.0234168768838</v>
      </c>
      <c r="D173">
        <v>12</v>
      </c>
    </row>
    <row r="174" spans="1:4" x14ac:dyDescent="0.2">
      <c r="A174" t="s">
        <v>86</v>
      </c>
      <c r="B174">
        <v>39.880053798674503</v>
      </c>
      <c r="C174">
        <v>-75.024033784957197</v>
      </c>
      <c r="D174">
        <v>13</v>
      </c>
    </row>
    <row r="175" spans="1:4" x14ac:dyDescent="0.2">
      <c r="A175" t="s">
        <v>86</v>
      </c>
      <c r="B175">
        <v>39.881058239821897</v>
      </c>
      <c r="C175">
        <v>-75.025423169226997</v>
      </c>
      <c r="D175">
        <v>14</v>
      </c>
    </row>
    <row r="176" spans="1:4" x14ac:dyDescent="0.2">
      <c r="A176" t="s">
        <v>86</v>
      </c>
      <c r="B176">
        <v>39.881576920883298</v>
      </c>
      <c r="C176">
        <v>-75.026082992644604</v>
      </c>
      <c r="D176">
        <v>15</v>
      </c>
    </row>
    <row r="177" spans="1:4" x14ac:dyDescent="0.2">
      <c r="A177" t="s">
        <v>86</v>
      </c>
      <c r="B177">
        <v>39.883095892850697</v>
      </c>
      <c r="C177">
        <v>-75.027941465377793</v>
      </c>
      <c r="D177">
        <v>16</v>
      </c>
    </row>
    <row r="178" spans="1:4" x14ac:dyDescent="0.2">
      <c r="A178" t="s">
        <v>86</v>
      </c>
      <c r="B178">
        <v>39.8838944716627</v>
      </c>
      <c r="C178">
        <v>-75.028872490020106</v>
      </c>
      <c r="D178">
        <v>17</v>
      </c>
    </row>
    <row r="179" spans="1:4" x14ac:dyDescent="0.2">
      <c r="A179" t="s">
        <v>86</v>
      </c>
      <c r="B179">
        <v>39.884767134780297</v>
      </c>
      <c r="C179">
        <v>-75.029899477958594</v>
      </c>
      <c r="D179">
        <v>18</v>
      </c>
    </row>
    <row r="180" spans="1:4" x14ac:dyDescent="0.2">
      <c r="A180" t="s">
        <v>86</v>
      </c>
      <c r="B180">
        <v>39.885306369173499</v>
      </c>
      <c r="C180">
        <v>-75.030476451010998</v>
      </c>
      <c r="D180">
        <v>19</v>
      </c>
    </row>
    <row r="181" spans="1:4" x14ac:dyDescent="0.2">
      <c r="A181" t="s">
        <v>86</v>
      </c>
      <c r="B181">
        <v>39.886092573551601</v>
      </c>
      <c r="C181">
        <v>-75.031152367682793</v>
      </c>
      <c r="D181">
        <v>20</v>
      </c>
    </row>
    <row r="182" spans="1:4" x14ac:dyDescent="0.2">
      <c r="A182" t="s">
        <v>86</v>
      </c>
      <c r="B182">
        <v>39.886220176553202</v>
      </c>
      <c r="C182">
        <v>-75.031254291625302</v>
      </c>
      <c r="D182">
        <v>21</v>
      </c>
    </row>
    <row r="183" spans="1:4" x14ac:dyDescent="0.2">
      <c r="A183" t="s">
        <v>86</v>
      </c>
      <c r="B183">
        <v>39.886681191869997</v>
      </c>
      <c r="C183">
        <v>-75.031560063453</v>
      </c>
      <c r="D183">
        <v>22</v>
      </c>
    </row>
    <row r="184" spans="1:4" x14ac:dyDescent="0.2">
      <c r="A184" t="s">
        <v>86</v>
      </c>
      <c r="B184">
        <v>39.887702000468003</v>
      </c>
      <c r="C184">
        <v>-75.032107234092095</v>
      </c>
      <c r="D184">
        <v>23</v>
      </c>
    </row>
    <row r="185" spans="1:4" x14ac:dyDescent="0.2">
      <c r="A185" t="s">
        <v>86</v>
      </c>
      <c r="B185">
        <v>39.8890109182842</v>
      </c>
      <c r="C185">
        <v>-75.032632947059</v>
      </c>
      <c r="D185">
        <v>24</v>
      </c>
    </row>
    <row r="186" spans="1:4" x14ac:dyDescent="0.2">
      <c r="A186" t="s">
        <v>86</v>
      </c>
      <c r="B186">
        <v>39.890682016028499</v>
      </c>
      <c r="C186">
        <v>-75.033292770476606</v>
      </c>
      <c r="D186">
        <v>25</v>
      </c>
    </row>
    <row r="187" spans="1:4" x14ac:dyDescent="0.2">
      <c r="A187" t="s">
        <v>86</v>
      </c>
      <c r="B187">
        <v>39.892106121362801</v>
      </c>
      <c r="C187">
        <v>-75.033839941115701</v>
      </c>
      <c r="D187">
        <v>26</v>
      </c>
    </row>
    <row r="188" spans="1:4" x14ac:dyDescent="0.2">
      <c r="A188" t="s">
        <v>86</v>
      </c>
      <c r="B188">
        <v>39.893270902283902</v>
      </c>
      <c r="C188">
        <v>-75.034328103156398</v>
      </c>
      <c r="D188">
        <v>27</v>
      </c>
    </row>
    <row r="189" spans="1:4" x14ac:dyDescent="0.2">
      <c r="A189" t="s">
        <v>86</v>
      </c>
      <c r="B189">
        <v>39.894213413699497</v>
      </c>
      <c r="C189">
        <v>-75.034794807525003</v>
      </c>
      <c r="D189">
        <v>28</v>
      </c>
    </row>
    <row r="190" spans="1:4" x14ac:dyDescent="0.2">
      <c r="A190" t="s">
        <v>86</v>
      </c>
      <c r="B190">
        <v>39.895752683950498</v>
      </c>
      <c r="C190">
        <v>-75.035749673934305</v>
      </c>
      <c r="D190">
        <v>29</v>
      </c>
    </row>
    <row r="191" spans="1:4" x14ac:dyDescent="0.2">
      <c r="A191" t="s">
        <v>86</v>
      </c>
      <c r="B191">
        <v>39.897609000000003</v>
      </c>
      <c r="C191">
        <v>-75.037141000000005</v>
      </c>
      <c r="D191">
        <v>30</v>
      </c>
    </row>
    <row r="192" spans="1:4" x14ac:dyDescent="0.2">
      <c r="A192" t="s">
        <v>86</v>
      </c>
      <c r="B192">
        <v>39.8980244848984</v>
      </c>
      <c r="C192">
        <v>-75.037278533072794</v>
      </c>
      <c r="D192">
        <v>31</v>
      </c>
    </row>
    <row r="193" spans="1:4" x14ac:dyDescent="0.2">
      <c r="A193" t="s">
        <v>86</v>
      </c>
      <c r="B193">
        <v>39.899547207869396</v>
      </c>
      <c r="C193">
        <v>-75.038090944290104</v>
      </c>
      <c r="D193">
        <v>32</v>
      </c>
    </row>
    <row r="194" spans="1:4" x14ac:dyDescent="0.2">
      <c r="A194" t="s">
        <v>86</v>
      </c>
      <c r="B194">
        <v>39.900279749028201</v>
      </c>
      <c r="C194">
        <v>-75.038517713637702</v>
      </c>
      <c r="D194">
        <v>33</v>
      </c>
    </row>
    <row r="195" spans="1:4" x14ac:dyDescent="0.2">
      <c r="A195" t="s">
        <v>86</v>
      </c>
      <c r="B195">
        <v>39.901020513023099</v>
      </c>
      <c r="C195">
        <v>-75.039027333350504</v>
      </c>
      <c r="D195">
        <v>34</v>
      </c>
    </row>
    <row r="196" spans="1:4" x14ac:dyDescent="0.2">
      <c r="A196" t="s">
        <v>86</v>
      </c>
      <c r="B196">
        <v>39.901399122639098</v>
      </c>
      <c r="C196">
        <v>-75.039317011924098</v>
      </c>
      <c r="D196">
        <v>35</v>
      </c>
    </row>
    <row r="197" spans="1:4" x14ac:dyDescent="0.2">
      <c r="A197" t="s">
        <v>86</v>
      </c>
      <c r="B197">
        <v>39.902143989799001</v>
      </c>
      <c r="C197">
        <v>-75.039933919997495</v>
      </c>
      <c r="D197">
        <v>36</v>
      </c>
    </row>
    <row r="198" spans="1:4" x14ac:dyDescent="0.2">
      <c r="A198" t="s">
        <v>86</v>
      </c>
      <c r="B198">
        <v>39.902250986626399</v>
      </c>
      <c r="C198">
        <v>-75.040025115104001</v>
      </c>
      <c r="D198">
        <v>37</v>
      </c>
    </row>
    <row r="199" spans="1:4" x14ac:dyDescent="0.2">
      <c r="A199" t="s">
        <v>86</v>
      </c>
      <c r="B199">
        <v>39.903399134374297</v>
      </c>
      <c r="C199">
        <v>-75.041277408599797</v>
      </c>
      <c r="D199">
        <v>38</v>
      </c>
    </row>
    <row r="200" spans="1:4" x14ac:dyDescent="0.2">
      <c r="A200" t="s">
        <v>86</v>
      </c>
      <c r="B200">
        <v>39.904292124876903</v>
      </c>
      <c r="C200">
        <v>-75.042374730201104</v>
      </c>
      <c r="D200">
        <v>39</v>
      </c>
    </row>
    <row r="201" spans="1:4" x14ac:dyDescent="0.2">
      <c r="A201" t="s">
        <v>86</v>
      </c>
      <c r="B201">
        <v>39.905699487204103</v>
      </c>
      <c r="C201">
        <v>-75.044354200454094</v>
      </c>
      <c r="D201">
        <v>40</v>
      </c>
    </row>
    <row r="202" spans="1:4" x14ac:dyDescent="0.2">
      <c r="A202" t="s">
        <v>86</v>
      </c>
      <c r="B202">
        <v>39.907086</v>
      </c>
      <c r="C202">
        <v>-75.046544999999995</v>
      </c>
      <c r="D202">
        <v>41</v>
      </c>
    </row>
    <row r="203" spans="1:4" x14ac:dyDescent="0.2">
      <c r="A203" t="s">
        <v>86</v>
      </c>
      <c r="B203">
        <v>39.9074319023009</v>
      </c>
      <c r="C203">
        <v>-75.047149062247598</v>
      </c>
      <c r="D203">
        <v>42</v>
      </c>
    </row>
    <row r="204" spans="1:4" x14ac:dyDescent="0.2">
      <c r="A204" t="s">
        <v>86</v>
      </c>
      <c r="B204">
        <v>39.907678798748101</v>
      </c>
      <c r="C204">
        <v>-75.047610402198103</v>
      </c>
      <c r="D204">
        <v>43</v>
      </c>
    </row>
    <row r="205" spans="1:4" x14ac:dyDescent="0.2">
      <c r="A205" t="s">
        <v>86</v>
      </c>
      <c r="B205">
        <v>39.908094405757801</v>
      </c>
      <c r="C205">
        <v>-75.048425793738701</v>
      </c>
      <c r="D205">
        <v>44</v>
      </c>
    </row>
    <row r="206" spans="1:4" x14ac:dyDescent="0.2">
      <c r="A206" t="s">
        <v>86</v>
      </c>
      <c r="B206">
        <v>39.908905037917698</v>
      </c>
      <c r="C206">
        <v>-75.050190687270501</v>
      </c>
      <c r="D206">
        <v>45</v>
      </c>
    </row>
    <row r="207" spans="1:4" x14ac:dyDescent="0.2">
      <c r="A207" t="s">
        <v>86</v>
      </c>
      <c r="B207">
        <v>39.909538723382703</v>
      </c>
      <c r="C207">
        <v>-75.051778555007303</v>
      </c>
      <c r="D207">
        <v>46</v>
      </c>
    </row>
    <row r="208" spans="1:4" x14ac:dyDescent="0.2">
      <c r="A208" t="s">
        <v>86</v>
      </c>
      <c r="B208">
        <v>39.910180632552397</v>
      </c>
      <c r="C208">
        <v>-75.053559541793206</v>
      </c>
      <c r="D208">
        <v>47</v>
      </c>
    </row>
    <row r="209" spans="1:4" x14ac:dyDescent="0.2">
      <c r="A209" t="s">
        <v>86</v>
      </c>
      <c r="B209">
        <v>39.911534382812</v>
      </c>
      <c r="C209">
        <v>-75.057883262725198</v>
      </c>
      <c r="D209">
        <v>48</v>
      </c>
    </row>
    <row r="210" spans="1:4" x14ac:dyDescent="0.2">
      <c r="A210" t="s">
        <v>86</v>
      </c>
      <c r="B210">
        <v>39.912456069807398</v>
      </c>
      <c r="C210">
        <v>-75.060785412879298</v>
      </c>
      <c r="D210">
        <v>49</v>
      </c>
    </row>
    <row r="211" spans="1:4" x14ac:dyDescent="0.2">
      <c r="A211" t="s">
        <v>86</v>
      </c>
      <c r="B211">
        <v>39.913464150757697</v>
      </c>
      <c r="C211">
        <v>-75.063998699279097</v>
      </c>
      <c r="D211">
        <v>50</v>
      </c>
    </row>
    <row r="212" spans="1:4" x14ac:dyDescent="0.2">
      <c r="A212" t="s">
        <v>86</v>
      </c>
      <c r="B212">
        <v>39.913587999999997</v>
      </c>
      <c r="C212">
        <v>-75.064559000000003</v>
      </c>
      <c r="D212">
        <v>51</v>
      </c>
    </row>
    <row r="213" spans="1:4" x14ac:dyDescent="0.2">
      <c r="A213" t="s">
        <v>86</v>
      </c>
      <c r="B213">
        <v>39.913871493544903</v>
      </c>
      <c r="C213">
        <v>-75.065270066352198</v>
      </c>
      <c r="D213">
        <v>52</v>
      </c>
    </row>
    <row r="214" spans="1:4" x14ac:dyDescent="0.2">
      <c r="A214" t="s">
        <v>86</v>
      </c>
      <c r="B214">
        <v>39.915081163906102</v>
      </c>
      <c r="C214">
        <v>-75.069105625243495</v>
      </c>
      <c r="D214">
        <v>53</v>
      </c>
    </row>
    <row r="215" spans="1:4" x14ac:dyDescent="0.2">
      <c r="A215" t="s">
        <v>86</v>
      </c>
      <c r="B215">
        <v>39.916039833064097</v>
      </c>
      <c r="C215">
        <v>-75.072136521430295</v>
      </c>
      <c r="D215">
        <v>54</v>
      </c>
    </row>
    <row r="216" spans="1:4" x14ac:dyDescent="0.2">
      <c r="A216" t="s">
        <v>86</v>
      </c>
      <c r="B216">
        <v>39.916994374429301</v>
      </c>
      <c r="C216">
        <v>-75.075145959945004</v>
      </c>
      <c r="D216">
        <v>55</v>
      </c>
    </row>
    <row r="217" spans="1:4" x14ac:dyDescent="0.2">
      <c r="A217" t="s">
        <v>86</v>
      </c>
      <c r="B217">
        <v>39.917841930179598</v>
      </c>
      <c r="C217">
        <v>-75.077860355468104</v>
      </c>
      <c r="D217">
        <v>56</v>
      </c>
    </row>
    <row r="218" spans="1:4" x14ac:dyDescent="0.2">
      <c r="A218" t="s">
        <v>86</v>
      </c>
      <c r="B218">
        <v>39.918796446426803</v>
      </c>
      <c r="C218">
        <v>-75.080885887236903</v>
      </c>
      <c r="D218">
        <v>57</v>
      </c>
    </row>
    <row r="219" spans="1:4" x14ac:dyDescent="0.2">
      <c r="A219" t="s">
        <v>86</v>
      </c>
      <c r="B219">
        <v>39.919759177785302</v>
      </c>
      <c r="C219">
        <v>-75.0839060545877</v>
      </c>
      <c r="D219">
        <v>58</v>
      </c>
    </row>
    <row r="220" spans="1:4" x14ac:dyDescent="0.2">
      <c r="A220" t="s">
        <v>86</v>
      </c>
      <c r="B220">
        <v>39.920882347263301</v>
      </c>
      <c r="C220">
        <v>-75.087425112815197</v>
      </c>
      <c r="D220">
        <v>59</v>
      </c>
    </row>
    <row r="221" spans="1:4" x14ac:dyDescent="0.2">
      <c r="A221" t="s">
        <v>86</v>
      </c>
      <c r="B221">
        <v>39.921301988274898</v>
      </c>
      <c r="C221">
        <v>-75.088616013617795</v>
      </c>
      <c r="D221">
        <v>60</v>
      </c>
    </row>
    <row r="222" spans="1:4" x14ac:dyDescent="0.2">
      <c r="A222" t="s">
        <v>86</v>
      </c>
      <c r="B222">
        <v>39.921853277459903</v>
      </c>
      <c r="C222">
        <v>-75.089946389289196</v>
      </c>
      <c r="D222">
        <v>61</v>
      </c>
    </row>
    <row r="223" spans="1:4" x14ac:dyDescent="0.2">
      <c r="A223" t="s">
        <v>86</v>
      </c>
      <c r="B223">
        <v>39.922758369481301</v>
      </c>
      <c r="C223">
        <v>-75.091679096312802</v>
      </c>
      <c r="D223">
        <v>62</v>
      </c>
    </row>
    <row r="224" spans="1:4" x14ac:dyDescent="0.2">
      <c r="A224" t="s">
        <v>86</v>
      </c>
      <c r="B224">
        <v>39.922868999999999</v>
      </c>
      <c r="C224">
        <v>-75.092025000000007</v>
      </c>
      <c r="D224">
        <v>63</v>
      </c>
    </row>
    <row r="225" spans="1:4" x14ac:dyDescent="0.2">
      <c r="A225" t="s">
        <v>86</v>
      </c>
      <c r="B225">
        <v>39.923470092531304</v>
      </c>
      <c r="C225">
        <v>-75.092902183623593</v>
      </c>
      <c r="D225">
        <v>64</v>
      </c>
    </row>
    <row r="226" spans="1:4" x14ac:dyDescent="0.2">
      <c r="A226" t="s">
        <v>86</v>
      </c>
      <c r="B226">
        <v>39.924243517284097</v>
      </c>
      <c r="C226">
        <v>-75.094184279532698</v>
      </c>
      <c r="D226">
        <v>65</v>
      </c>
    </row>
    <row r="227" spans="1:4" x14ac:dyDescent="0.2">
      <c r="A227" t="s">
        <v>86</v>
      </c>
      <c r="B227">
        <v>39.925358385463099</v>
      </c>
      <c r="C227">
        <v>-75.095906257720301</v>
      </c>
      <c r="D227">
        <v>66</v>
      </c>
    </row>
    <row r="228" spans="1:4" x14ac:dyDescent="0.2">
      <c r="A228" t="s">
        <v>86</v>
      </c>
      <c r="B228">
        <v>39.927176692397602</v>
      </c>
      <c r="C228">
        <v>-75.098730325698796</v>
      </c>
      <c r="D228">
        <v>67</v>
      </c>
    </row>
    <row r="229" spans="1:4" x14ac:dyDescent="0.2">
      <c r="A229" t="s">
        <v>86</v>
      </c>
      <c r="B229">
        <v>39.928283285421799</v>
      </c>
      <c r="C229">
        <v>-75.100500583648596</v>
      </c>
      <c r="D229">
        <v>68</v>
      </c>
    </row>
    <row r="230" spans="1:4" x14ac:dyDescent="0.2">
      <c r="A230" t="s">
        <v>86</v>
      </c>
      <c r="B230">
        <v>39.928929132563198</v>
      </c>
      <c r="C230">
        <v>-75.101619362921994</v>
      </c>
      <c r="D230">
        <v>69</v>
      </c>
    </row>
    <row r="231" spans="1:4" x14ac:dyDescent="0.2">
      <c r="A231" t="s">
        <v>86</v>
      </c>
      <c r="B231">
        <v>39.929311701563201</v>
      </c>
      <c r="C231">
        <v>-75.102303028106604</v>
      </c>
      <c r="D231">
        <v>70</v>
      </c>
    </row>
    <row r="232" spans="1:4" x14ac:dyDescent="0.2">
      <c r="A232" t="s">
        <v>86</v>
      </c>
      <c r="B232">
        <v>39.930533439858998</v>
      </c>
      <c r="C232">
        <v>-75.104687810035102</v>
      </c>
      <c r="D232">
        <v>71</v>
      </c>
    </row>
    <row r="233" spans="1:4" x14ac:dyDescent="0.2">
      <c r="A233" t="s">
        <v>86</v>
      </c>
      <c r="B233">
        <v>39.931783950750798</v>
      </c>
      <c r="C233">
        <v>-75.107091069312403</v>
      </c>
      <c r="D233">
        <v>72</v>
      </c>
    </row>
    <row r="234" spans="1:4" x14ac:dyDescent="0.2">
      <c r="A234" t="s">
        <v>86</v>
      </c>
      <c r="B234">
        <v>39.932417424524097</v>
      </c>
      <c r="C234">
        <v>-75.108201503844597</v>
      </c>
      <c r="D234">
        <v>73</v>
      </c>
    </row>
    <row r="235" spans="1:4" x14ac:dyDescent="0.2">
      <c r="A235" t="s">
        <v>86</v>
      </c>
      <c r="B235">
        <v>39.933013871744002</v>
      </c>
      <c r="C235">
        <v>-75.108997821807804</v>
      </c>
      <c r="D235">
        <v>74</v>
      </c>
    </row>
    <row r="236" spans="1:4" x14ac:dyDescent="0.2">
      <c r="A236" t="s">
        <v>86</v>
      </c>
      <c r="B236">
        <v>39.9338447757588</v>
      </c>
      <c r="C236">
        <v>-75.109859109015801</v>
      </c>
      <c r="D236">
        <v>75</v>
      </c>
    </row>
    <row r="237" spans="1:4" x14ac:dyDescent="0.2">
      <c r="A237" t="s">
        <v>86</v>
      </c>
      <c r="B237">
        <v>39.934848428543297</v>
      </c>
      <c r="C237">
        <v>-75.1106101275399</v>
      </c>
      <c r="D237">
        <v>76</v>
      </c>
    </row>
    <row r="238" spans="1:4" x14ac:dyDescent="0.2">
      <c r="A238" t="s">
        <v>86</v>
      </c>
      <c r="B238">
        <v>39.936312748006998</v>
      </c>
      <c r="C238">
        <v>-75.111275315375593</v>
      </c>
      <c r="D238">
        <v>77</v>
      </c>
    </row>
    <row r="239" spans="1:4" x14ac:dyDescent="0.2">
      <c r="A239" t="s">
        <v>86</v>
      </c>
      <c r="B239">
        <v>39.936913274458</v>
      </c>
      <c r="C239">
        <v>-75.111436247916501</v>
      </c>
      <c r="D239">
        <v>78</v>
      </c>
    </row>
    <row r="240" spans="1:4" x14ac:dyDescent="0.2">
      <c r="A240" t="s">
        <v>86</v>
      </c>
      <c r="B240">
        <v>39.938611995402397</v>
      </c>
      <c r="C240">
        <v>-75.111919045539196</v>
      </c>
      <c r="D240">
        <v>79</v>
      </c>
    </row>
    <row r="241" spans="1:4" x14ac:dyDescent="0.2">
      <c r="A241" t="s">
        <v>86</v>
      </c>
      <c r="B241">
        <v>39.940285996339</v>
      </c>
      <c r="C241">
        <v>-75.112407207579906</v>
      </c>
      <c r="D241">
        <v>80</v>
      </c>
    </row>
    <row r="242" spans="1:4" x14ac:dyDescent="0.2">
      <c r="A242" t="s">
        <v>86</v>
      </c>
      <c r="B242">
        <v>39.941314232139597</v>
      </c>
      <c r="C242">
        <v>-75.112702250571601</v>
      </c>
      <c r="D242">
        <v>81</v>
      </c>
    </row>
    <row r="243" spans="1:4" x14ac:dyDescent="0.2">
      <c r="A243" t="s">
        <v>86</v>
      </c>
      <c r="B243">
        <v>39.941585683813003</v>
      </c>
      <c r="C243">
        <v>-75.112841725440305</v>
      </c>
      <c r="D243">
        <v>82</v>
      </c>
    </row>
    <row r="244" spans="1:4" x14ac:dyDescent="0.2">
      <c r="A244" t="s">
        <v>86</v>
      </c>
      <c r="B244">
        <v>39.941914714700502</v>
      </c>
      <c r="C244">
        <v>-75.113109946341794</v>
      </c>
      <c r="D244">
        <v>83</v>
      </c>
    </row>
    <row r="245" spans="1:4" x14ac:dyDescent="0.2">
      <c r="A245" t="s">
        <v>86</v>
      </c>
      <c r="B245">
        <v>39.942358903888902</v>
      </c>
      <c r="C245">
        <v>-75.113582015128401</v>
      </c>
      <c r="D245">
        <v>84</v>
      </c>
    </row>
    <row r="246" spans="1:4" x14ac:dyDescent="0.2">
      <c r="A246" t="s">
        <v>86</v>
      </c>
      <c r="B246">
        <v>39.942745510650198</v>
      </c>
      <c r="C246">
        <v>-75.114241838546107</v>
      </c>
      <c r="D246">
        <v>85</v>
      </c>
    </row>
    <row r="247" spans="1:4" x14ac:dyDescent="0.2">
      <c r="A247" t="s">
        <v>86</v>
      </c>
      <c r="B247">
        <v>39.942901797869801</v>
      </c>
      <c r="C247">
        <v>-75.114772915931098</v>
      </c>
      <c r="D247">
        <v>86</v>
      </c>
    </row>
    <row r="248" spans="1:4" x14ac:dyDescent="0.2">
      <c r="A248" t="s">
        <v>86</v>
      </c>
      <c r="B248">
        <v>39.942955264468303</v>
      </c>
      <c r="C248">
        <v>-75.115338563918996</v>
      </c>
      <c r="D248">
        <v>87</v>
      </c>
    </row>
    <row r="249" spans="1:4" x14ac:dyDescent="0.2">
      <c r="A249" t="s">
        <v>86</v>
      </c>
      <c r="B249">
        <v>39.942955264468303</v>
      </c>
      <c r="C249">
        <v>-75.119000077338498</v>
      </c>
      <c r="D249">
        <v>88</v>
      </c>
    </row>
    <row r="250" spans="1:4" x14ac:dyDescent="0.2">
      <c r="A250" t="s">
        <v>86</v>
      </c>
      <c r="B250">
        <v>39.942610000000002</v>
      </c>
      <c r="C250">
        <v>-75.119217000000006</v>
      </c>
      <c r="D250">
        <v>89</v>
      </c>
    </row>
    <row r="251" spans="1:4" x14ac:dyDescent="0.2">
      <c r="A251" t="s">
        <v>86</v>
      </c>
      <c r="B251">
        <v>39.943181468845602</v>
      </c>
      <c r="C251">
        <v>-75.120105147452705</v>
      </c>
      <c r="D251">
        <v>90</v>
      </c>
    </row>
    <row r="252" spans="1:4" x14ac:dyDescent="0.2">
      <c r="A252" t="s">
        <v>86</v>
      </c>
      <c r="B252">
        <v>39.943946445380398</v>
      </c>
      <c r="C252">
        <v>-75.121119022460306</v>
      </c>
      <c r="D252">
        <v>91</v>
      </c>
    </row>
    <row r="253" spans="1:4" x14ac:dyDescent="0.2">
      <c r="A253" t="s">
        <v>86</v>
      </c>
      <c r="B253">
        <v>39.944057489650298</v>
      </c>
      <c r="C253">
        <v>-75.121287703514099</v>
      </c>
      <c r="D253">
        <v>92</v>
      </c>
    </row>
    <row r="254" spans="1:4" x14ac:dyDescent="0.2">
      <c r="A254" t="s">
        <v>86</v>
      </c>
      <c r="B254">
        <v>39.944164420999201</v>
      </c>
      <c r="C254">
        <v>-75.1213520765304</v>
      </c>
      <c r="D254">
        <v>93</v>
      </c>
    </row>
    <row r="255" spans="1:4" x14ac:dyDescent="0.2">
      <c r="A255" t="s">
        <v>86</v>
      </c>
      <c r="B255">
        <v>39.9442836903835</v>
      </c>
      <c r="C255">
        <v>-75.121368169784503</v>
      </c>
      <c r="D255">
        <v>94</v>
      </c>
    </row>
    <row r="256" spans="1:4" x14ac:dyDescent="0.2">
      <c r="A256" t="s">
        <v>86</v>
      </c>
      <c r="B256">
        <v>39.944333043171298</v>
      </c>
      <c r="C256">
        <v>-75.121371150107706</v>
      </c>
      <c r="D256">
        <v>95</v>
      </c>
    </row>
    <row r="257" spans="1:4" x14ac:dyDescent="0.2">
      <c r="A257" t="s">
        <v>86</v>
      </c>
      <c r="B257">
        <v>39.945686000000002</v>
      </c>
      <c r="C257">
        <v>-75.121099999999998</v>
      </c>
      <c r="D257">
        <v>96</v>
      </c>
    </row>
    <row r="258" spans="1:4" x14ac:dyDescent="0.2">
      <c r="A258" t="s">
        <v>86</v>
      </c>
      <c r="B258">
        <v>39.946623795896897</v>
      </c>
      <c r="C258">
        <v>-75.120679140181807</v>
      </c>
      <c r="D258">
        <v>97</v>
      </c>
    </row>
    <row r="259" spans="1:4" x14ac:dyDescent="0.2">
      <c r="A259" t="s">
        <v>86</v>
      </c>
      <c r="B259">
        <v>39.948075525868802</v>
      </c>
      <c r="C259">
        <v>-75.120217800231302</v>
      </c>
      <c r="D259">
        <v>98</v>
      </c>
    </row>
    <row r="260" spans="1:4" x14ac:dyDescent="0.2">
      <c r="A260" t="s">
        <v>86</v>
      </c>
      <c r="B260">
        <v>39.9485813622194</v>
      </c>
      <c r="C260">
        <v>-75.120099783034604</v>
      </c>
      <c r="D260">
        <v>99</v>
      </c>
    </row>
    <row r="261" spans="1:4" x14ac:dyDescent="0.2">
      <c r="A261" t="s">
        <v>86</v>
      </c>
      <c r="B261">
        <v>39.949037845471203</v>
      </c>
      <c r="C261">
        <v>-75.120115876288693</v>
      </c>
      <c r="D261">
        <v>100</v>
      </c>
    </row>
    <row r="262" spans="1:4" x14ac:dyDescent="0.2">
      <c r="A262" t="s">
        <v>86</v>
      </c>
      <c r="B262">
        <v>39.949395627512096</v>
      </c>
      <c r="C262">
        <v>-75.120292902083705</v>
      </c>
      <c r="D262">
        <v>101</v>
      </c>
    </row>
    <row r="263" spans="1:4" x14ac:dyDescent="0.2">
      <c r="A263" t="s">
        <v>86</v>
      </c>
      <c r="B263">
        <v>39.949872667322403</v>
      </c>
      <c r="C263">
        <v>-75.120654702186499</v>
      </c>
      <c r="D263">
        <v>102</v>
      </c>
    </row>
    <row r="264" spans="1:4" x14ac:dyDescent="0.2">
      <c r="A264" t="s">
        <v>86</v>
      </c>
      <c r="B264">
        <v>39.950028938260999</v>
      </c>
      <c r="C264">
        <v>-75.120909810157102</v>
      </c>
      <c r="D264">
        <v>103</v>
      </c>
    </row>
    <row r="265" spans="1:4" x14ac:dyDescent="0.2">
      <c r="A265" t="s">
        <v>86</v>
      </c>
      <c r="B265">
        <v>39.950510086014397</v>
      </c>
      <c r="C265">
        <v>-75.121891498656595</v>
      </c>
      <c r="D265">
        <v>104</v>
      </c>
    </row>
    <row r="266" spans="1:4" x14ac:dyDescent="0.2">
      <c r="A266" t="s">
        <v>86</v>
      </c>
      <c r="B266">
        <v>39.950826736962703</v>
      </c>
      <c r="C266">
        <v>-75.122795104980398</v>
      </c>
      <c r="D266">
        <v>105</v>
      </c>
    </row>
    <row r="267" spans="1:4" x14ac:dyDescent="0.2">
      <c r="A267" t="s">
        <v>86</v>
      </c>
      <c r="B267">
        <v>39.951357226824904</v>
      </c>
      <c r="C267">
        <v>-75.125786066146205</v>
      </c>
      <c r="D267">
        <v>106</v>
      </c>
    </row>
    <row r="268" spans="1:4" x14ac:dyDescent="0.2">
      <c r="A268" t="s">
        <v>86</v>
      </c>
      <c r="B268">
        <v>39.951768456445301</v>
      </c>
      <c r="C268">
        <v>-75.128055214972804</v>
      </c>
      <c r="D268">
        <v>107</v>
      </c>
    </row>
    <row r="269" spans="1:4" x14ac:dyDescent="0.2">
      <c r="A269" t="s">
        <v>86</v>
      </c>
      <c r="B269">
        <v>39.9522866022469</v>
      </c>
      <c r="C269">
        <v>-75.130946636290901</v>
      </c>
      <c r="D269">
        <v>108</v>
      </c>
    </row>
    <row r="270" spans="1:4" x14ac:dyDescent="0.2">
      <c r="A270" t="s">
        <v>86</v>
      </c>
      <c r="B270">
        <v>39.952932222872199</v>
      </c>
      <c r="C270">
        <v>-75.134535431952798</v>
      </c>
      <c r="D270">
        <v>109</v>
      </c>
    </row>
    <row r="271" spans="1:4" x14ac:dyDescent="0.2">
      <c r="A271" t="s">
        <v>86</v>
      </c>
      <c r="B271">
        <v>39.953565500876998</v>
      </c>
      <c r="C271">
        <v>-75.138145685286801</v>
      </c>
      <c r="D271">
        <v>110</v>
      </c>
    </row>
    <row r="272" spans="1:4" x14ac:dyDescent="0.2">
      <c r="A272" t="s">
        <v>86</v>
      </c>
      <c r="B272">
        <v>39.953935595697601</v>
      </c>
      <c r="C272">
        <v>-75.140205621810296</v>
      </c>
      <c r="D272">
        <v>111</v>
      </c>
    </row>
    <row r="273" spans="1:4" x14ac:dyDescent="0.2">
      <c r="A273" t="s">
        <v>86</v>
      </c>
      <c r="B273">
        <v>39.9546387703394</v>
      </c>
      <c r="C273">
        <v>-75.1442021132425</v>
      </c>
      <c r="D273">
        <v>112</v>
      </c>
    </row>
    <row r="274" spans="1:4" x14ac:dyDescent="0.2">
      <c r="A274" t="s">
        <v>86</v>
      </c>
      <c r="B274">
        <v>39.955041756056502</v>
      </c>
      <c r="C274">
        <v>-75.146594643683699</v>
      </c>
      <c r="D274">
        <v>113</v>
      </c>
    </row>
    <row r="275" spans="1:4" x14ac:dyDescent="0.2">
      <c r="A275" t="s">
        <v>86</v>
      </c>
      <c r="B275">
        <v>39.955341937751598</v>
      </c>
      <c r="C275">
        <v>-75.148214697928694</v>
      </c>
      <c r="D275">
        <v>114</v>
      </c>
    </row>
    <row r="276" spans="1:4" x14ac:dyDescent="0.2">
      <c r="A276" t="s">
        <v>86</v>
      </c>
      <c r="B276">
        <v>39.955605109660702</v>
      </c>
      <c r="C276">
        <v>-75.150119066329296</v>
      </c>
      <c r="D276">
        <v>115</v>
      </c>
    </row>
    <row r="277" spans="1:4" x14ac:dyDescent="0.2">
      <c r="A277" t="s">
        <v>86</v>
      </c>
      <c r="B277">
        <v>39.955609221713701</v>
      </c>
      <c r="C277">
        <v>-75.150614976882906</v>
      </c>
      <c r="D277">
        <v>116</v>
      </c>
    </row>
    <row r="278" spans="1:4" x14ac:dyDescent="0.2">
      <c r="A278" t="s">
        <v>86</v>
      </c>
      <c r="B278">
        <v>39.9555393167783</v>
      </c>
      <c r="C278">
        <v>-75.151191949935296</v>
      </c>
      <c r="D278">
        <v>117</v>
      </c>
    </row>
    <row r="279" spans="1:4" x14ac:dyDescent="0.2">
      <c r="A279" t="s">
        <v>86</v>
      </c>
      <c r="B279">
        <v>39.955255584248299</v>
      </c>
      <c r="C279">
        <v>-75.1519054175332</v>
      </c>
      <c r="D279">
        <v>118</v>
      </c>
    </row>
    <row r="280" spans="1:4" x14ac:dyDescent="0.2">
      <c r="A280" t="s">
        <v>86</v>
      </c>
      <c r="B280">
        <v>39.955132221911498</v>
      </c>
      <c r="C280">
        <v>-75.152111649513202</v>
      </c>
      <c r="D280">
        <v>119</v>
      </c>
    </row>
    <row r="281" spans="1:4" x14ac:dyDescent="0.2">
      <c r="A281" t="s">
        <v>86</v>
      </c>
      <c r="B281">
        <v>39.955054092316502</v>
      </c>
      <c r="C281">
        <v>-75.152227282615002</v>
      </c>
      <c r="D281">
        <v>120</v>
      </c>
    </row>
    <row r="282" spans="1:4" x14ac:dyDescent="0.2">
      <c r="A282" t="s">
        <v>86</v>
      </c>
      <c r="B282">
        <v>39.954716900408897</v>
      </c>
      <c r="C282">
        <v>-75.152522325606697</v>
      </c>
      <c r="D282">
        <v>121</v>
      </c>
    </row>
    <row r="283" spans="1:4" x14ac:dyDescent="0.2">
      <c r="A283" t="s">
        <v>86</v>
      </c>
      <c r="B283">
        <v>39.954322137038702</v>
      </c>
      <c r="C283">
        <v>-75.152760744094806</v>
      </c>
      <c r="D283">
        <v>122</v>
      </c>
    </row>
    <row r="284" spans="1:4" x14ac:dyDescent="0.2">
      <c r="A284" t="s">
        <v>86</v>
      </c>
      <c r="B284">
        <v>39.953841016100597</v>
      </c>
      <c r="C284">
        <v>-75.152972936721198</v>
      </c>
      <c r="D284">
        <v>123</v>
      </c>
    </row>
    <row r="285" spans="1:4" x14ac:dyDescent="0.2">
      <c r="A285" t="s">
        <v>86</v>
      </c>
      <c r="B285">
        <v>39.951152</v>
      </c>
      <c r="C285">
        <v>-75.153587000000002</v>
      </c>
      <c r="D285">
        <v>124</v>
      </c>
    </row>
    <row r="286" spans="1:4" x14ac:dyDescent="0.2">
      <c r="A286" t="s">
        <v>86</v>
      </c>
      <c r="B286">
        <v>39.950197545978597</v>
      </c>
      <c r="C286">
        <v>-75.153804421515801</v>
      </c>
      <c r="D286">
        <v>125</v>
      </c>
    </row>
    <row r="287" spans="1:4" x14ac:dyDescent="0.2">
      <c r="A287" t="s">
        <v>86</v>
      </c>
      <c r="B287">
        <v>39.948108425907797</v>
      </c>
      <c r="C287">
        <v>-75.154244303794201</v>
      </c>
      <c r="D287">
        <v>126</v>
      </c>
    </row>
    <row r="288" spans="1:4" x14ac:dyDescent="0.2">
      <c r="A288" t="s">
        <v>86</v>
      </c>
      <c r="B288">
        <v>39.9469610277025</v>
      </c>
      <c r="C288">
        <v>-75.154512524695704</v>
      </c>
      <c r="D288">
        <v>127</v>
      </c>
    </row>
    <row r="289" spans="1:4" x14ac:dyDescent="0.2">
      <c r="A289" t="s">
        <v>86</v>
      </c>
      <c r="B289">
        <v>39.947352000000002</v>
      </c>
      <c r="C289">
        <v>-75.157641999999996</v>
      </c>
      <c r="D289">
        <v>128</v>
      </c>
    </row>
    <row r="290" spans="1:4" x14ac:dyDescent="0.2">
      <c r="A290" t="s">
        <v>86</v>
      </c>
      <c r="B290">
        <v>39.947944</v>
      </c>
      <c r="C290">
        <v>-75.162362999999999</v>
      </c>
      <c r="D290">
        <v>129</v>
      </c>
    </row>
    <row r="291" spans="1:4" x14ac:dyDescent="0.2">
      <c r="A291" t="s">
        <v>86</v>
      </c>
      <c r="B291">
        <v>39.948635000000003</v>
      </c>
      <c r="C291">
        <v>-75.167792000000006</v>
      </c>
      <c r="D291">
        <v>130</v>
      </c>
    </row>
    <row r="292" spans="1:4" x14ac:dyDescent="0.2">
      <c r="A292" t="s">
        <v>85</v>
      </c>
      <c r="B292">
        <v>39.948635000000003</v>
      </c>
      <c r="C292">
        <v>-75.167792000000006</v>
      </c>
      <c r="D292">
        <v>1</v>
      </c>
    </row>
    <row r="293" spans="1:4" x14ac:dyDescent="0.2">
      <c r="A293" t="s">
        <v>85</v>
      </c>
      <c r="B293">
        <v>39.947944</v>
      </c>
      <c r="C293">
        <v>-75.162362999999999</v>
      </c>
      <c r="D293">
        <v>2</v>
      </c>
    </row>
    <row r="294" spans="1:4" x14ac:dyDescent="0.2">
      <c r="A294" t="s">
        <v>85</v>
      </c>
      <c r="B294">
        <v>39.947352000000002</v>
      </c>
      <c r="C294">
        <v>-75.157641999999996</v>
      </c>
      <c r="D294">
        <v>3</v>
      </c>
    </row>
    <row r="295" spans="1:4" x14ac:dyDescent="0.2">
      <c r="A295" t="s">
        <v>85</v>
      </c>
      <c r="B295">
        <v>39.947220119302003</v>
      </c>
      <c r="C295">
        <v>-75.156553983870197</v>
      </c>
      <c r="D295">
        <v>4</v>
      </c>
    </row>
    <row r="296" spans="1:4" x14ac:dyDescent="0.2">
      <c r="A296" t="s">
        <v>85</v>
      </c>
      <c r="B296">
        <v>39.947055616812897</v>
      </c>
      <c r="C296">
        <v>-75.155084133330007</v>
      </c>
      <c r="D296">
        <v>5</v>
      </c>
    </row>
    <row r="297" spans="1:4" x14ac:dyDescent="0.2">
      <c r="A297" t="s">
        <v>85</v>
      </c>
      <c r="B297">
        <v>39.946956915129597</v>
      </c>
      <c r="C297">
        <v>-75.154526233854995</v>
      </c>
      <c r="D297">
        <v>6</v>
      </c>
    </row>
    <row r="298" spans="1:4" x14ac:dyDescent="0.2">
      <c r="A298" t="s">
        <v>85</v>
      </c>
      <c r="B298">
        <v>39.951152</v>
      </c>
      <c r="C298">
        <v>-75.153587000000002</v>
      </c>
      <c r="D298">
        <v>7</v>
      </c>
    </row>
    <row r="299" spans="1:4" x14ac:dyDescent="0.2">
      <c r="A299" t="s">
        <v>85</v>
      </c>
      <c r="B299">
        <v>39.9530761502063</v>
      </c>
      <c r="C299">
        <v>-75.153093338012695</v>
      </c>
      <c r="D299">
        <v>8</v>
      </c>
    </row>
    <row r="300" spans="1:4" x14ac:dyDescent="0.2">
      <c r="A300" t="s">
        <v>85</v>
      </c>
      <c r="B300">
        <v>39.9544002674699</v>
      </c>
      <c r="C300">
        <v>-75.152696371078406</v>
      </c>
      <c r="D300">
        <v>9</v>
      </c>
    </row>
    <row r="301" spans="1:4" x14ac:dyDescent="0.2">
      <c r="A301" t="s">
        <v>85</v>
      </c>
      <c r="B301">
        <v>39.955033531881902</v>
      </c>
      <c r="C301">
        <v>-75.152235031127901</v>
      </c>
      <c r="D301">
        <v>10</v>
      </c>
    </row>
    <row r="302" spans="1:4" x14ac:dyDescent="0.2">
      <c r="A302" t="s">
        <v>85</v>
      </c>
      <c r="B302">
        <v>39.9554776358937</v>
      </c>
      <c r="C302">
        <v>-75.151451826095496</v>
      </c>
      <c r="D302">
        <v>11</v>
      </c>
    </row>
    <row r="303" spans="1:4" x14ac:dyDescent="0.2">
      <c r="A303" t="s">
        <v>85</v>
      </c>
      <c r="B303">
        <v>39.9556256699234</v>
      </c>
      <c r="C303">
        <v>-75.150507688522296</v>
      </c>
      <c r="D303">
        <v>12</v>
      </c>
    </row>
    <row r="304" spans="1:4" x14ac:dyDescent="0.2">
      <c r="A304" t="s">
        <v>85</v>
      </c>
      <c r="B304">
        <v>39.9554776358937</v>
      </c>
      <c r="C304">
        <v>-75.149059295654197</v>
      </c>
      <c r="D304">
        <v>13</v>
      </c>
    </row>
    <row r="305" spans="1:4" x14ac:dyDescent="0.2">
      <c r="A305" t="s">
        <v>85</v>
      </c>
      <c r="B305">
        <v>39.954753909357997</v>
      </c>
      <c r="C305">
        <v>-75.144832134246798</v>
      </c>
      <c r="D305">
        <v>14</v>
      </c>
    </row>
    <row r="306" spans="1:4" x14ac:dyDescent="0.2">
      <c r="A306" t="s">
        <v>85</v>
      </c>
      <c r="B306">
        <v>39.952064540241103</v>
      </c>
      <c r="C306">
        <v>-75.129683017730699</v>
      </c>
      <c r="D306">
        <v>15</v>
      </c>
    </row>
    <row r="307" spans="1:4" x14ac:dyDescent="0.2">
      <c r="A307" t="s">
        <v>85</v>
      </c>
      <c r="B307">
        <v>39.951513494371902</v>
      </c>
      <c r="C307">
        <v>-75.1264977458777</v>
      </c>
      <c r="D307">
        <v>16</v>
      </c>
    </row>
    <row r="308" spans="1:4" x14ac:dyDescent="0.2">
      <c r="A308" t="s">
        <v>85</v>
      </c>
      <c r="B308">
        <v>39.9509213207279</v>
      </c>
      <c r="C308">
        <v>-75.124318599700899</v>
      </c>
      <c r="D308">
        <v>17</v>
      </c>
    </row>
    <row r="309" spans="1:4" x14ac:dyDescent="0.2">
      <c r="A309" t="s">
        <v>85</v>
      </c>
      <c r="B309">
        <v>39.950625231983402</v>
      </c>
      <c r="C309">
        <v>-75.122849941617403</v>
      </c>
      <c r="D309">
        <v>18</v>
      </c>
    </row>
    <row r="310" spans="1:4" x14ac:dyDescent="0.2">
      <c r="A310" t="s">
        <v>85</v>
      </c>
      <c r="B310">
        <v>39.950082399289599</v>
      </c>
      <c r="C310">
        <v>-75.121583938962402</v>
      </c>
      <c r="D310">
        <v>19</v>
      </c>
    </row>
    <row r="311" spans="1:4" x14ac:dyDescent="0.2">
      <c r="A311" t="s">
        <v>85</v>
      </c>
      <c r="B311">
        <v>39.949490213256198</v>
      </c>
      <c r="C311">
        <v>-75.120618343716998</v>
      </c>
      <c r="D311">
        <v>20</v>
      </c>
    </row>
    <row r="312" spans="1:4" x14ac:dyDescent="0.2">
      <c r="A312" t="s">
        <v>85</v>
      </c>
      <c r="B312">
        <v>39.949227017817897</v>
      </c>
      <c r="C312">
        <v>-75.1201558113098</v>
      </c>
      <c r="D312">
        <v>21</v>
      </c>
    </row>
    <row r="313" spans="1:4" x14ac:dyDescent="0.2">
      <c r="A313" t="s">
        <v>85</v>
      </c>
      <c r="B313">
        <v>39.949062520154797</v>
      </c>
      <c r="C313">
        <v>-75.120081901914006</v>
      </c>
      <c r="D313">
        <v>22</v>
      </c>
    </row>
    <row r="314" spans="1:4" x14ac:dyDescent="0.2">
      <c r="A314" t="s">
        <v>85</v>
      </c>
      <c r="B314">
        <v>39.945686000000002</v>
      </c>
      <c r="C314">
        <v>-75.121099999999998</v>
      </c>
      <c r="D314">
        <v>23</v>
      </c>
    </row>
    <row r="315" spans="1:4" x14ac:dyDescent="0.2">
      <c r="A315" t="s">
        <v>85</v>
      </c>
      <c r="B315">
        <v>39.9450651053439</v>
      </c>
      <c r="C315">
        <v>-75.121175050735403</v>
      </c>
      <c r="D315">
        <v>24</v>
      </c>
    </row>
    <row r="316" spans="1:4" x14ac:dyDescent="0.2">
      <c r="A316" t="s">
        <v>85</v>
      </c>
      <c r="B316">
        <v>39.9447031879455</v>
      </c>
      <c r="C316">
        <v>-75.121304989224797</v>
      </c>
      <c r="D316">
        <v>25</v>
      </c>
    </row>
    <row r="317" spans="1:4" x14ac:dyDescent="0.2">
      <c r="A317" t="s">
        <v>85</v>
      </c>
      <c r="B317">
        <v>39.944193210180003</v>
      </c>
      <c r="C317">
        <v>-75.121326446897001</v>
      </c>
      <c r="D317">
        <v>26</v>
      </c>
    </row>
    <row r="318" spans="1:4" x14ac:dyDescent="0.2">
      <c r="A318" t="s">
        <v>85</v>
      </c>
      <c r="B318">
        <v>39.9437161307644</v>
      </c>
      <c r="C318">
        <v>-75.120897293454604</v>
      </c>
      <c r="D318">
        <v>27</v>
      </c>
    </row>
    <row r="319" spans="1:4" x14ac:dyDescent="0.2">
      <c r="A319" t="s">
        <v>85</v>
      </c>
      <c r="B319">
        <v>39.942610000000002</v>
      </c>
      <c r="C319">
        <v>-75.119217000000006</v>
      </c>
      <c r="D319">
        <v>28</v>
      </c>
    </row>
    <row r="320" spans="1:4" x14ac:dyDescent="0.2">
      <c r="A320" t="s">
        <v>85</v>
      </c>
      <c r="B320">
        <v>39.942951151654498</v>
      </c>
      <c r="C320">
        <v>-75.118707418441701</v>
      </c>
      <c r="D320">
        <v>29</v>
      </c>
    </row>
    <row r="321" spans="1:4" x14ac:dyDescent="0.2">
      <c r="A321" t="s">
        <v>85</v>
      </c>
      <c r="B321">
        <v>39.942992279781201</v>
      </c>
      <c r="C321">
        <v>-75.117559432983398</v>
      </c>
      <c r="D321">
        <v>30</v>
      </c>
    </row>
    <row r="322" spans="1:4" x14ac:dyDescent="0.2">
      <c r="A322" t="s">
        <v>85</v>
      </c>
      <c r="B322">
        <v>39.942934700396897</v>
      </c>
      <c r="C322">
        <v>-75.117065906524601</v>
      </c>
      <c r="D322">
        <v>31</v>
      </c>
    </row>
    <row r="323" spans="1:4" x14ac:dyDescent="0.2">
      <c r="A323" t="s">
        <v>85</v>
      </c>
      <c r="B323">
        <v>39.942959377281802</v>
      </c>
      <c r="C323">
        <v>-75.116207599639793</v>
      </c>
      <c r="D323">
        <v>32</v>
      </c>
    </row>
    <row r="324" spans="1:4" x14ac:dyDescent="0.2">
      <c r="A324" t="s">
        <v>85</v>
      </c>
      <c r="B324">
        <v>39.942918249135403</v>
      </c>
      <c r="C324">
        <v>-75.115767717361393</v>
      </c>
      <c r="D324">
        <v>33</v>
      </c>
    </row>
    <row r="325" spans="1:4" x14ac:dyDescent="0.2">
      <c r="A325" t="s">
        <v>85</v>
      </c>
      <c r="B325">
        <v>39.942910023503103</v>
      </c>
      <c r="C325">
        <v>-75.115284919738698</v>
      </c>
      <c r="D325">
        <v>34</v>
      </c>
    </row>
    <row r="326" spans="1:4" x14ac:dyDescent="0.2">
      <c r="A326" t="s">
        <v>85</v>
      </c>
      <c r="B326">
        <v>39.942852444049599</v>
      </c>
      <c r="C326">
        <v>-75.114834308624197</v>
      </c>
      <c r="D326">
        <v>35</v>
      </c>
    </row>
    <row r="327" spans="1:4" x14ac:dyDescent="0.2">
      <c r="A327" t="s">
        <v>85</v>
      </c>
      <c r="B327">
        <v>39.942778413252398</v>
      </c>
      <c r="C327">
        <v>-75.1145029071631</v>
      </c>
      <c r="D327">
        <v>36</v>
      </c>
    </row>
    <row r="328" spans="1:4" x14ac:dyDescent="0.2">
      <c r="A328" t="s">
        <v>85</v>
      </c>
      <c r="B328">
        <v>39.942432935139998</v>
      </c>
      <c r="C328">
        <v>-75.113751888638902</v>
      </c>
      <c r="D328">
        <v>37</v>
      </c>
    </row>
    <row r="329" spans="1:4" x14ac:dyDescent="0.2">
      <c r="A329" t="s">
        <v>85</v>
      </c>
      <c r="B329">
        <v>39.941906488947602</v>
      </c>
      <c r="C329">
        <v>-75.113059282484699</v>
      </c>
      <c r="D329">
        <v>38</v>
      </c>
    </row>
    <row r="330" spans="1:4" x14ac:dyDescent="0.2">
      <c r="A330" t="s">
        <v>85</v>
      </c>
      <c r="B330">
        <v>39.941412941963598</v>
      </c>
      <c r="C330">
        <v>-75.112748146238999</v>
      </c>
      <c r="D330">
        <v>39</v>
      </c>
    </row>
    <row r="331" spans="1:4" x14ac:dyDescent="0.2">
      <c r="A331" t="s">
        <v>85</v>
      </c>
      <c r="B331">
        <v>39.939998087545902</v>
      </c>
      <c r="C331">
        <v>-75.112318992796602</v>
      </c>
      <c r="D331">
        <v>40</v>
      </c>
    </row>
    <row r="332" spans="1:4" x14ac:dyDescent="0.2">
      <c r="A332" t="s">
        <v>85</v>
      </c>
      <c r="B332">
        <v>39.936970858909298</v>
      </c>
      <c r="C332">
        <v>-75.111439228239703</v>
      </c>
      <c r="D332">
        <v>41</v>
      </c>
    </row>
    <row r="333" spans="1:4" x14ac:dyDescent="0.2">
      <c r="A333" t="s">
        <v>85</v>
      </c>
      <c r="B333">
        <v>39.935638177764098</v>
      </c>
      <c r="C333">
        <v>-75.111010074797306</v>
      </c>
      <c r="D333">
        <v>42</v>
      </c>
    </row>
    <row r="334" spans="1:4" x14ac:dyDescent="0.2">
      <c r="A334" t="s">
        <v>85</v>
      </c>
      <c r="B334">
        <v>39.934437097214797</v>
      </c>
      <c r="C334">
        <v>-75.110344886961599</v>
      </c>
      <c r="D334">
        <v>43</v>
      </c>
    </row>
    <row r="335" spans="1:4" x14ac:dyDescent="0.2">
      <c r="A335" t="s">
        <v>85</v>
      </c>
      <c r="B335">
        <v>39.933285356343397</v>
      </c>
      <c r="C335">
        <v>-75.109308958053504</v>
      </c>
      <c r="D335">
        <v>44</v>
      </c>
    </row>
    <row r="336" spans="1:4" x14ac:dyDescent="0.2">
      <c r="A336" t="s">
        <v>85</v>
      </c>
      <c r="B336">
        <v>39.932396857285902</v>
      </c>
      <c r="C336">
        <v>-75.108199119749699</v>
      </c>
      <c r="D336">
        <v>45</v>
      </c>
    </row>
    <row r="337" spans="1:4" x14ac:dyDescent="0.2">
      <c r="A337" t="s">
        <v>85</v>
      </c>
      <c r="B337">
        <v>39.931121676446601</v>
      </c>
      <c r="C337">
        <v>-75.105903148832994</v>
      </c>
      <c r="D337">
        <v>46</v>
      </c>
    </row>
    <row r="338" spans="1:4" x14ac:dyDescent="0.2">
      <c r="A338" t="s">
        <v>85</v>
      </c>
      <c r="B338">
        <v>39.9305375534191</v>
      </c>
      <c r="C338">
        <v>-75.104701519194293</v>
      </c>
      <c r="D338">
        <v>47</v>
      </c>
    </row>
    <row r="339" spans="1:4" x14ac:dyDescent="0.2">
      <c r="A339" t="s">
        <v>85</v>
      </c>
      <c r="B339">
        <v>39.929303474295303</v>
      </c>
      <c r="C339">
        <v>-75.102260112762394</v>
      </c>
      <c r="D339">
        <v>48</v>
      </c>
    </row>
    <row r="340" spans="1:4" x14ac:dyDescent="0.2">
      <c r="A340" t="s">
        <v>85</v>
      </c>
      <c r="B340">
        <v>39.926061853828401</v>
      </c>
      <c r="C340">
        <v>-75.097002983093205</v>
      </c>
      <c r="D340">
        <v>49</v>
      </c>
    </row>
    <row r="341" spans="1:4" x14ac:dyDescent="0.2">
      <c r="A341" t="s">
        <v>85</v>
      </c>
      <c r="B341">
        <v>39.924967566581302</v>
      </c>
      <c r="C341">
        <v>-75.095307826995807</v>
      </c>
      <c r="D341">
        <v>50</v>
      </c>
    </row>
    <row r="342" spans="1:4" x14ac:dyDescent="0.2">
      <c r="A342" t="s">
        <v>85</v>
      </c>
      <c r="B342">
        <v>39.923165656987699</v>
      </c>
      <c r="C342">
        <v>-75.092384815397907</v>
      </c>
      <c r="D342">
        <v>51</v>
      </c>
    </row>
    <row r="343" spans="1:4" x14ac:dyDescent="0.2">
      <c r="A343" t="s">
        <v>85</v>
      </c>
      <c r="B343">
        <v>39.922868999999999</v>
      </c>
      <c r="C343">
        <v>-75.092025000000007</v>
      </c>
      <c r="D343">
        <v>52</v>
      </c>
    </row>
    <row r="344" spans="1:4" x14ac:dyDescent="0.2">
      <c r="A344" t="s">
        <v>85</v>
      </c>
      <c r="B344">
        <v>39.922342851447901</v>
      </c>
      <c r="C344">
        <v>-75.091112852096501</v>
      </c>
      <c r="D344">
        <v>53</v>
      </c>
    </row>
    <row r="345" spans="1:4" x14ac:dyDescent="0.2">
      <c r="A345" t="s">
        <v>85</v>
      </c>
      <c r="B345">
        <v>39.921939673123902</v>
      </c>
      <c r="C345">
        <v>-75.090276002883897</v>
      </c>
      <c r="D345">
        <v>54</v>
      </c>
    </row>
    <row r="346" spans="1:4" x14ac:dyDescent="0.2">
      <c r="A346" t="s">
        <v>85</v>
      </c>
      <c r="B346">
        <v>39.921278674994703</v>
      </c>
      <c r="C346">
        <v>-75.0886940957934</v>
      </c>
      <c r="D346">
        <v>55</v>
      </c>
    </row>
    <row r="347" spans="1:4" x14ac:dyDescent="0.2">
      <c r="A347" t="s">
        <v>85</v>
      </c>
      <c r="B347">
        <v>39.919833233482997</v>
      </c>
      <c r="C347">
        <v>-75.084321498870807</v>
      </c>
      <c r="D347">
        <v>56</v>
      </c>
    </row>
    <row r="348" spans="1:4" x14ac:dyDescent="0.2">
      <c r="A348" t="s">
        <v>85</v>
      </c>
      <c r="B348">
        <v>39.913587999999997</v>
      </c>
      <c r="C348">
        <v>-75.064559000000003</v>
      </c>
      <c r="D348">
        <v>57</v>
      </c>
    </row>
    <row r="349" spans="1:4" x14ac:dyDescent="0.2">
      <c r="A349" t="s">
        <v>85</v>
      </c>
      <c r="B349">
        <v>39.912822272358298</v>
      </c>
      <c r="C349">
        <v>-75.062110424132598</v>
      </c>
      <c r="D349">
        <v>58</v>
      </c>
    </row>
    <row r="350" spans="1:4" x14ac:dyDescent="0.2">
      <c r="A350" t="s">
        <v>85</v>
      </c>
      <c r="B350">
        <v>39.910863683139901</v>
      </c>
      <c r="C350">
        <v>-75.055820942106905</v>
      </c>
      <c r="D350">
        <v>59</v>
      </c>
    </row>
    <row r="351" spans="1:4" x14ac:dyDescent="0.2">
      <c r="A351" t="s">
        <v>85</v>
      </c>
      <c r="B351">
        <v>39.909752693774301</v>
      </c>
      <c r="C351">
        <v>-75.052398443403902</v>
      </c>
      <c r="D351">
        <v>60</v>
      </c>
    </row>
    <row r="352" spans="1:4" x14ac:dyDescent="0.2">
      <c r="A352" t="s">
        <v>85</v>
      </c>
      <c r="B352">
        <v>39.908510010246196</v>
      </c>
      <c r="C352">
        <v>-75.049340725126896</v>
      </c>
      <c r="D352">
        <v>61</v>
      </c>
    </row>
    <row r="353" spans="1:4" x14ac:dyDescent="0.2">
      <c r="A353" t="s">
        <v>85</v>
      </c>
      <c r="B353">
        <v>39.907086</v>
      </c>
      <c r="C353">
        <v>-75.046544999999995</v>
      </c>
      <c r="D353">
        <v>62</v>
      </c>
    </row>
    <row r="354" spans="1:4" x14ac:dyDescent="0.2">
      <c r="A354" t="s">
        <v>85</v>
      </c>
      <c r="B354">
        <v>39.9057859032471</v>
      </c>
      <c r="C354">
        <v>-75.044474601745506</v>
      </c>
      <c r="D354">
        <v>63</v>
      </c>
    </row>
    <row r="355" spans="1:4" x14ac:dyDescent="0.2">
      <c r="A355" t="s">
        <v>85</v>
      </c>
      <c r="B355">
        <v>39.904592529204002</v>
      </c>
      <c r="C355">
        <v>-75.042731762114201</v>
      </c>
      <c r="D355">
        <v>64</v>
      </c>
    </row>
    <row r="356" spans="1:4" x14ac:dyDescent="0.2">
      <c r="A356" t="s">
        <v>85</v>
      </c>
      <c r="B356">
        <v>39.903489668503802</v>
      </c>
      <c r="C356">
        <v>-75.041341781616197</v>
      </c>
      <c r="D356">
        <v>65</v>
      </c>
    </row>
    <row r="357" spans="1:4" x14ac:dyDescent="0.2">
      <c r="A357" t="s">
        <v>85</v>
      </c>
      <c r="B357">
        <v>39.903275678550401</v>
      </c>
      <c r="C357">
        <v>-75.0411057472229</v>
      </c>
      <c r="D357">
        <v>66</v>
      </c>
    </row>
    <row r="358" spans="1:4" x14ac:dyDescent="0.2">
      <c r="A358" t="s">
        <v>85</v>
      </c>
      <c r="B358">
        <v>39.9013579695213</v>
      </c>
      <c r="C358">
        <v>-75.039234161558795</v>
      </c>
      <c r="D358">
        <v>67</v>
      </c>
    </row>
    <row r="359" spans="1:4" x14ac:dyDescent="0.2">
      <c r="A359" t="s">
        <v>85</v>
      </c>
      <c r="B359">
        <v>39.899843517595897</v>
      </c>
      <c r="C359">
        <v>-75.038204193297105</v>
      </c>
      <c r="D359">
        <v>68</v>
      </c>
    </row>
    <row r="360" spans="1:4" x14ac:dyDescent="0.2">
      <c r="A360" t="s">
        <v>85</v>
      </c>
      <c r="B360">
        <v>39.897609000000003</v>
      </c>
      <c r="C360">
        <v>-75.037141000000005</v>
      </c>
      <c r="D360">
        <v>69</v>
      </c>
    </row>
    <row r="361" spans="1:4" x14ac:dyDescent="0.2">
      <c r="A361" t="s">
        <v>85</v>
      </c>
      <c r="B361">
        <v>39.895826765603999</v>
      </c>
      <c r="C361">
        <v>-75.035811662855807</v>
      </c>
      <c r="D361">
        <v>70</v>
      </c>
    </row>
    <row r="362" spans="1:4" x14ac:dyDescent="0.2">
      <c r="A362" t="s">
        <v>85</v>
      </c>
      <c r="B362">
        <v>39.893538428675498</v>
      </c>
      <c r="C362">
        <v>-75.034492016020494</v>
      </c>
      <c r="D362">
        <v>71</v>
      </c>
    </row>
    <row r="363" spans="1:4" x14ac:dyDescent="0.2">
      <c r="A363" t="s">
        <v>85</v>
      </c>
      <c r="B363">
        <v>39.890583233058301</v>
      </c>
      <c r="C363">
        <v>-75.033247471037598</v>
      </c>
      <c r="D363">
        <v>72</v>
      </c>
    </row>
    <row r="364" spans="1:4" x14ac:dyDescent="0.2">
      <c r="A364" t="s">
        <v>85</v>
      </c>
      <c r="B364">
        <v>39.887562051801297</v>
      </c>
      <c r="C364">
        <v>-75.032035112562795</v>
      </c>
      <c r="D364">
        <v>73</v>
      </c>
    </row>
    <row r="365" spans="1:4" x14ac:dyDescent="0.2">
      <c r="A365" t="s">
        <v>85</v>
      </c>
      <c r="B365">
        <v>39.8860061326737</v>
      </c>
      <c r="C365">
        <v>-75.031090974989596</v>
      </c>
      <c r="D365">
        <v>74</v>
      </c>
    </row>
    <row r="366" spans="1:4" x14ac:dyDescent="0.2">
      <c r="A366" t="s">
        <v>85</v>
      </c>
      <c r="B366">
        <v>39.884581900613199</v>
      </c>
      <c r="C366">
        <v>-75.029696226301894</v>
      </c>
      <c r="D366">
        <v>75</v>
      </c>
    </row>
    <row r="367" spans="1:4" x14ac:dyDescent="0.2">
      <c r="A367" t="s">
        <v>85</v>
      </c>
      <c r="B367">
        <v>39.881511056839003</v>
      </c>
      <c r="C367">
        <v>-75.026016235533405</v>
      </c>
      <c r="D367">
        <v>76</v>
      </c>
    </row>
    <row r="368" spans="1:4" x14ac:dyDescent="0.2">
      <c r="A368" t="s">
        <v>85</v>
      </c>
      <c r="B368">
        <v>39.880070265041503</v>
      </c>
      <c r="C368">
        <v>-75.024089813232393</v>
      </c>
      <c r="D368">
        <v>77</v>
      </c>
    </row>
    <row r="369" spans="1:4" x14ac:dyDescent="0.2">
      <c r="A369" t="s">
        <v>85</v>
      </c>
      <c r="B369">
        <v>39.878777643209197</v>
      </c>
      <c r="C369">
        <v>-75.021831989470201</v>
      </c>
      <c r="D369">
        <v>78</v>
      </c>
    </row>
    <row r="370" spans="1:4" x14ac:dyDescent="0.2">
      <c r="A370" t="s">
        <v>85</v>
      </c>
      <c r="B370">
        <v>39.876653409189899</v>
      </c>
      <c r="C370">
        <v>-75.017894506636296</v>
      </c>
      <c r="D370">
        <v>79</v>
      </c>
    </row>
    <row r="371" spans="1:4" x14ac:dyDescent="0.2">
      <c r="A371" t="s">
        <v>85</v>
      </c>
      <c r="B371">
        <v>39.874817293438198</v>
      </c>
      <c r="C371">
        <v>-75.015115738096895</v>
      </c>
      <c r="D371">
        <v>80</v>
      </c>
    </row>
    <row r="372" spans="1:4" x14ac:dyDescent="0.2">
      <c r="A372" t="s">
        <v>85</v>
      </c>
      <c r="B372">
        <v>39.8723553391251</v>
      </c>
      <c r="C372">
        <v>-75.012680292311401</v>
      </c>
      <c r="D372">
        <v>81</v>
      </c>
    </row>
    <row r="373" spans="1:4" x14ac:dyDescent="0.2">
      <c r="A373" t="s">
        <v>85</v>
      </c>
      <c r="B373">
        <v>39.870156999999999</v>
      </c>
      <c r="C373">
        <v>-75.011246999999997</v>
      </c>
      <c r="D373">
        <v>82</v>
      </c>
    </row>
    <row r="374" spans="1:4" x14ac:dyDescent="0.2">
      <c r="A374" t="s">
        <v>85</v>
      </c>
      <c r="B374">
        <v>39.868880457244799</v>
      </c>
      <c r="C374">
        <v>-75.010459423246999</v>
      </c>
      <c r="D374">
        <v>83</v>
      </c>
    </row>
    <row r="375" spans="1:4" x14ac:dyDescent="0.2">
      <c r="A375" t="s">
        <v>85</v>
      </c>
      <c r="B375">
        <v>39.867167654493798</v>
      </c>
      <c r="C375">
        <v>-75.009858608427706</v>
      </c>
      <c r="D375">
        <v>84</v>
      </c>
    </row>
    <row r="376" spans="1:4" x14ac:dyDescent="0.2">
      <c r="A376" t="s">
        <v>85</v>
      </c>
      <c r="B376">
        <v>39.865561863076998</v>
      </c>
      <c r="C376">
        <v>-75.009461641493502</v>
      </c>
      <c r="D376">
        <v>85</v>
      </c>
    </row>
    <row r="377" spans="1:4" x14ac:dyDescent="0.2">
      <c r="A377" t="s">
        <v>85</v>
      </c>
      <c r="B377">
        <v>39.864400728946599</v>
      </c>
      <c r="C377">
        <v>-75.009332895460801</v>
      </c>
      <c r="D377">
        <v>86</v>
      </c>
    </row>
    <row r="378" spans="1:4" x14ac:dyDescent="0.2">
      <c r="A378" t="s">
        <v>85</v>
      </c>
      <c r="B378">
        <v>39.858697999999997</v>
      </c>
      <c r="C378">
        <v>-75.009197999999998</v>
      </c>
      <c r="D378">
        <v>87</v>
      </c>
    </row>
    <row r="379" spans="1:4" x14ac:dyDescent="0.2">
      <c r="A379" t="s">
        <v>85</v>
      </c>
      <c r="B379">
        <v>39.858075908677002</v>
      </c>
      <c r="C379">
        <v>-75.009150505247803</v>
      </c>
      <c r="D379">
        <v>88</v>
      </c>
    </row>
    <row r="380" spans="1:4" x14ac:dyDescent="0.2">
      <c r="A380" t="s">
        <v>85</v>
      </c>
      <c r="B380">
        <v>39.856379308250602</v>
      </c>
      <c r="C380">
        <v>-75.009129047575698</v>
      </c>
      <c r="D380">
        <v>89</v>
      </c>
    </row>
    <row r="381" spans="1:4" x14ac:dyDescent="0.2">
      <c r="A381" t="s">
        <v>85</v>
      </c>
      <c r="B381">
        <v>39.854748555689099</v>
      </c>
      <c r="C381">
        <v>-75.009107589903493</v>
      </c>
      <c r="D381">
        <v>90</v>
      </c>
    </row>
    <row r="382" spans="1:4" x14ac:dyDescent="0.2">
      <c r="A382" t="s">
        <v>85</v>
      </c>
      <c r="B382">
        <v>39.853826092637902</v>
      </c>
      <c r="C382">
        <v>-75.008978843870807</v>
      </c>
      <c r="D382">
        <v>91</v>
      </c>
    </row>
    <row r="383" spans="1:4" x14ac:dyDescent="0.2">
      <c r="A383" t="s">
        <v>85</v>
      </c>
      <c r="B383">
        <v>39.851305728593402</v>
      </c>
      <c r="C383">
        <v>-75.008249283018799</v>
      </c>
      <c r="D383">
        <v>92</v>
      </c>
    </row>
    <row r="384" spans="1:4" x14ac:dyDescent="0.2">
      <c r="A384" t="s">
        <v>85</v>
      </c>
      <c r="B384">
        <v>39.847475586459403</v>
      </c>
      <c r="C384">
        <v>-75.006650686445894</v>
      </c>
      <c r="D384">
        <v>93</v>
      </c>
    </row>
    <row r="385" spans="1:4" x14ac:dyDescent="0.2">
      <c r="A385" t="s">
        <v>85</v>
      </c>
      <c r="B385">
        <v>39.843571092602303</v>
      </c>
      <c r="C385">
        <v>-75.004912615004201</v>
      </c>
      <c r="D385">
        <v>94</v>
      </c>
    </row>
    <row r="386" spans="1:4" x14ac:dyDescent="0.2">
      <c r="A386" t="s">
        <v>85</v>
      </c>
      <c r="B386">
        <v>39.842228356698698</v>
      </c>
      <c r="C386">
        <v>-75.004397630873399</v>
      </c>
      <c r="D386">
        <v>95</v>
      </c>
    </row>
    <row r="387" spans="1:4" x14ac:dyDescent="0.2">
      <c r="A387" t="s">
        <v>85</v>
      </c>
      <c r="B387">
        <v>39.839847613156103</v>
      </c>
      <c r="C387">
        <v>-75.003389120283799</v>
      </c>
      <c r="D387">
        <v>96</v>
      </c>
    </row>
    <row r="388" spans="1:4" x14ac:dyDescent="0.2">
      <c r="A388" t="s">
        <v>85</v>
      </c>
      <c r="B388">
        <v>39.837590361392401</v>
      </c>
      <c r="C388">
        <v>-75.0024449827105</v>
      </c>
      <c r="D388">
        <v>97</v>
      </c>
    </row>
    <row r="389" spans="1:4" x14ac:dyDescent="0.2">
      <c r="A389" t="s">
        <v>85</v>
      </c>
      <c r="B389">
        <v>39.8356131456082</v>
      </c>
      <c r="C389">
        <v>-75.001640320006103</v>
      </c>
      <c r="D389">
        <v>98</v>
      </c>
    </row>
    <row r="390" spans="1:4" x14ac:dyDescent="0.2">
      <c r="A390" t="s">
        <v>85</v>
      </c>
      <c r="B390">
        <v>39.834179628570602</v>
      </c>
      <c r="C390">
        <v>-75.000706911268907</v>
      </c>
      <c r="D390">
        <v>99</v>
      </c>
    </row>
    <row r="391" spans="1:4" x14ac:dyDescent="0.2">
      <c r="A391" t="s">
        <v>85</v>
      </c>
      <c r="B391">
        <v>39.833809000000002</v>
      </c>
      <c r="C391">
        <v>-75.000325000000004</v>
      </c>
      <c r="D391">
        <v>100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91E7F-0D6D-2943-8BC5-EF70837CE3D8}">
  <dimension ref="A1:E26"/>
  <sheetViews>
    <sheetView workbookViewId="0">
      <selection activeCell="G19" sqref="G19"/>
    </sheetView>
  </sheetViews>
  <sheetFormatPr baseColWidth="10" defaultRowHeight="16" x14ac:dyDescent="0.2"/>
  <cols>
    <col min="4" max="4" width="15.1640625" customWidth="1"/>
    <col min="5" max="5" width="12.83203125" customWidth="1"/>
  </cols>
  <sheetData>
    <row r="1" spans="1:5" x14ac:dyDescent="0.2">
      <c r="A1" t="s">
        <v>89</v>
      </c>
      <c r="B1" t="s">
        <v>14</v>
      </c>
      <c r="C1" t="s">
        <v>90</v>
      </c>
      <c r="D1" t="s">
        <v>91</v>
      </c>
      <c r="E1" t="s">
        <v>92</v>
      </c>
    </row>
    <row r="2" spans="1:5" x14ac:dyDescent="0.2">
      <c r="A2" t="s">
        <v>106</v>
      </c>
      <c r="B2" t="s">
        <v>8</v>
      </c>
      <c r="C2" t="s">
        <v>101</v>
      </c>
      <c r="D2" t="s">
        <v>101</v>
      </c>
    </row>
    <row r="3" spans="1:5" x14ac:dyDescent="0.2">
      <c r="A3" t="s">
        <v>106</v>
      </c>
      <c r="B3" t="s">
        <v>8</v>
      </c>
      <c r="C3" t="s">
        <v>101</v>
      </c>
      <c r="D3" t="s">
        <v>103</v>
      </c>
    </row>
    <row r="4" spans="1:5" x14ac:dyDescent="0.2">
      <c r="A4" t="s">
        <v>106</v>
      </c>
      <c r="B4" t="s">
        <v>8</v>
      </c>
      <c r="C4" t="s">
        <v>101</v>
      </c>
      <c r="D4" t="s">
        <v>100</v>
      </c>
    </row>
    <row r="5" spans="1:5" x14ac:dyDescent="0.2">
      <c r="A5" t="s">
        <v>106</v>
      </c>
      <c r="B5" t="s">
        <v>8</v>
      </c>
      <c r="C5" t="s">
        <v>101</v>
      </c>
      <c r="D5" t="s">
        <v>104</v>
      </c>
    </row>
    <row r="6" spans="1:5" x14ac:dyDescent="0.2">
      <c r="A6" t="s">
        <v>101</v>
      </c>
      <c r="B6" t="s">
        <v>8</v>
      </c>
      <c r="C6" t="s">
        <v>101</v>
      </c>
      <c r="D6" t="s">
        <v>99</v>
      </c>
    </row>
    <row r="7" spans="1:5" x14ac:dyDescent="0.2">
      <c r="A7" t="s">
        <v>106</v>
      </c>
      <c r="B7" t="s">
        <v>8</v>
      </c>
      <c r="C7" t="s">
        <v>103</v>
      </c>
      <c r="D7" t="s">
        <v>101</v>
      </c>
    </row>
    <row r="8" spans="1:5" x14ac:dyDescent="0.2">
      <c r="A8" t="s">
        <v>106</v>
      </c>
      <c r="B8" t="s">
        <v>8</v>
      </c>
      <c r="C8" t="s">
        <v>103</v>
      </c>
      <c r="D8" t="s">
        <v>103</v>
      </c>
    </row>
    <row r="9" spans="1:5" x14ac:dyDescent="0.2">
      <c r="A9" t="s">
        <v>106</v>
      </c>
      <c r="B9" t="s">
        <v>8</v>
      </c>
      <c r="C9" t="s">
        <v>103</v>
      </c>
      <c r="D9" t="s">
        <v>100</v>
      </c>
    </row>
    <row r="10" spans="1:5" x14ac:dyDescent="0.2">
      <c r="A10" t="s">
        <v>106</v>
      </c>
      <c r="B10" t="s">
        <v>8</v>
      </c>
      <c r="C10" t="s">
        <v>103</v>
      </c>
      <c r="D10" t="s">
        <v>104</v>
      </c>
    </row>
    <row r="11" spans="1:5" x14ac:dyDescent="0.2">
      <c r="A11" t="s">
        <v>103</v>
      </c>
      <c r="B11" t="s">
        <v>8</v>
      </c>
      <c r="C11" t="s">
        <v>103</v>
      </c>
      <c r="D11" t="s">
        <v>99</v>
      </c>
    </row>
    <row r="12" spans="1:5" x14ac:dyDescent="0.2">
      <c r="A12" t="s">
        <v>106</v>
      </c>
      <c r="B12" t="s">
        <v>8</v>
      </c>
      <c r="C12" t="s">
        <v>100</v>
      </c>
      <c r="D12" t="s">
        <v>101</v>
      </c>
    </row>
    <row r="13" spans="1:5" x14ac:dyDescent="0.2">
      <c r="A13" t="s">
        <v>106</v>
      </c>
      <c r="B13" t="s">
        <v>8</v>
      </c>
      <c r="C13" t="s">
        <v>100</v>
      </c>
      <c r="D13" t="s">
        <v>103</v>
      </c>
    </row>
    <row r="14" spans="1:5" x14ac:dyDescent="0.2">
      <c r="A14" t="s">
        <v>106</v>
      </c>
      <c r="B14" t="s">
        <v>8</v>
      </c>
      <c r="C14" t="s">
        <v>100</v>
      </c>
      <c r="D14" t="s">
        <v>100</v>
      </c>
    </row>
    <row r="15" spans="1:5" x14ac:dyDescent="0.2">
      <c r="A15" t="s">
        <v>106</v>
      </c>
      <c r="B15" t="s">
        <v>8</v>
      </c>
      <c r="C15" t="s">
        <v>100</v>
      </c>
      <c r="D15" t="s">
        <v>104</v>
      </c>
    </row>
    <row r="16" spans="1:5" x14ac:dyDescent="0.2">
      <c r="A16" t="s">
        <v>105</v>
      </c>
      <c r="B16" t="s">
        <v>8</v>
      </c>
      <c r="C16" t="s">
        <v>100</v>
      </c>
      <c r="D16" t="s">
        <v>99</v>
      </c>
    </row>
    <row r="17" spans="1:4" x14ac:dyDescent="0.2">
      <c r="A17" t="s">
        <v>106</v>
      </c>
      <c r="B17" t="s">
        <v>8</v>
      </c>
      <c r="C17" t="s">
        <v>104</v>
      </c>
      <c r="D17" t="s">
        <v>101</v>
      </c>
    </row>
    <row r="18" spans="1:4" x14ac:dyDescent="0.2">
      <c r="A18" t="s">
        <v>106</v>
      </c>
      <c r="B18" t="s">
        <v>8</v>
      </c>
      <c r="C18" t="s">
        <v>104</v>
      </c>
      <c r="D18" t="s">
        <v>103</v>
      </c>
    </row>
    <row r="19" spans="1:4" x14ac:dyDescent="0.2">
      <c r="A19" t="s">
        <v>106</v>
      </c>
      <c r="B19" t="s">
        <v>8</v>
      </c>
      <c r="C19" t="s">
        <v>104</v>
      </c>
      <c r="D19" t="s">
        <v>100</v>
      </c>
    </row>
    <row r="20" spans="1:4" x14ac:dyDescent="0.2">
      <c r="A20" t="s">
        <v>102</v>
      </c>
      <c r="B20" t="s">
        <v>8</v>
      </c>
      <c r="C20" t="s">
        <v>104</v>
      </c>
      <c r="D20" t="s">
        <v>104</v>
      </c>
    </row>
    <row r="21" spans="1:4" x14ac:dyDescent="0.2">
      <c r="A21" t="s">
        <v>102</v>
      </c>
      <c r="B21" t="s">
        <v>8</v>
      </c>
      <c r="C21" t="s">
        <v>104</v>
      </c>
      <c r="D21" t="s">
        <v>99</v>
      </c>
    </row>
    <row r="22" spans="1:4" x14ac:dyDescent="0.2">
      <c r="A22" t="s">
        <v>101</v>
      </c>
      <c r="B22" t="s">
        <v>8</v>
      </c>
      <c r="C22" t="s">
        <v>99</v>
      </c>
      <c r="D22" t="s">
        <v>101</v>
      </c>
    </row>
    <row r="23" spans="1:4" x14ac:dyDescent="0.2">
      <c r="A23" t="s">
        <v>103</v>
      </c>
      <c r="B23" t="s">
        <v>8</v>
      </c>
      <c r="C23" t="s">
        <v>99</v>
      </c>
      <c r="D23" t="s">
        <v>103</v>
      </c>
    </row>
    <row r="24" spans="1:4" x14ac:dyDescent="0.2">
      <c r="A24" t="s">
        <v>105</v>
      </c>
      <c r="B24" t="s">
        <v>8</v>
      </c>
      <c r="C24" t="s">
        <v>99</v>
      </c>
      <c r="D24" t="s">
        <v>100</v>
      </c>
    </row>
    <row r="25" spans="1:4" x14ac:dyDescent="0.2">
      <c r="A25" t="s">
        <v>102</v>
      </c>
      <c r="B25" t="s">
        <v>8</v>
      </c>
      <c r="C25" t="s">
        <v>99</v>
      </c>
      <c r="D25" t="s">
        <v>104</v>
      </c>
    </row>
    <row r="26" spans="1:4" x14ac:dyDescent="0.2">
      <c r="A26" t="s">
        <v>102</v>
      </c>
      <c r="B26" t="s">
        <v>8</v>
      </c>
      <c r="C26" t="s">
        <v>99</v>
      </c>
      <c r="D26" t="s">
        <v>99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82794-41EC-3B48-8B4C-DCA42FFAF0F5}">
  <dimension ref="A1:F6"/>
  <sheetViews>
    <sheetView workbookViewId="0">
      <selection activeCell="G8" sqref="G8"/>
    </sheetView>
  </sheetViews>
  <sheetFormatPr baseColWidth="10" defaultRowHeight="16" x14ac:dyDescent="0.2"/>
  <cols>
    <col min="3" max="3" width="15.1640625" customWidth="1"/>
    <col min="4" max="4" width="18.1640625" customWidth="1"/>
    <col min="6" max="6" width="17.83203125" customWidth="1"/>
  </cols>
  <sheetData>
    <row r="1" spans="1:6" x14ac:dyDescent="0.2">
      <c r="A1" t="s">
        <v>89</v>
      </c>
      <c r="B1" t="s">
        <v>93</v>
      </c>
      <c r="C1" t="s">
        <v>94</v>
      </c>
      <c r="D1" t="s">
        <v>95</v>
      </c>
      <c r="E1" t="s">
        <v>96</v>
      </c>
      <c r="F1" t="s">
        <v>97</v>
      </c>
    </row>
    <row r="2" spans="1:6" x14ac:dyDescent="0.2">
      <c r="A2" t="s">
        <v>101</v>
      </c>
      <c r="B2">
        <v>3</v>
      </c>
      <c r="C2" t="s">
        <v>98</v>
      </c>
      <c r="D2">
        <v>1</v>
      </c>
      <c r="E2">
        <v>0</v>
      </c>
    </row>
    <row r="3" spans="1:6" x14ac:dyDescent="0.2">
      <c r="A3" t="s">
        <v>103</v>
      </c>
      <c r="B3">
        <v>2.6</v>
      </c>
      <c r="C3" t="s">
        <v>98</v>
      </c>
      <c r="D3">
        <v>1</v>
      </c>
      <c r="E3">
        <v>0</v>
      </c>
    </row>
    <row r="4" spans="1:6" x14ac:dyDescent="0.2">
      <c r="A4" t="s">
        <v>105</v>
      </c>
      <c r="B4">
        <v>2.25</v>
      </c>
      <c r="C4" t="s">
        <v>98</v>
      </c>
      <c r="D4">
        <v>1</v>
      </c>
      <c r="E4">
        <v>0</v>
      </c>
    </row>
    <row r="5" spans="1:6" x14ac:dyDescent="0.2">
      <c r="A5" t="s">
        <v>106</v>
      </c>
      <c r="B5">
        <v>1.6</v>
      </c>
      <c r="C5" t="s">
        <v>98</v>
      </c>
      <c r="D5">
        <v>1</v>
      </c>
      <c r="E5">
        <v>0</v>
      </c>
    </row>
    <row r="6" spans="1:6" x14ac:dyDescent="0.2">
      <c r="A6" t="s">
        <v>102</v>
      </c>
      <c r="B6">
        <v>1.4</v>
      </c>
      <c r="C6" t="s">
        <v>98</v>
      </c>
      <c r="D6">
        <v>1</v>
      </c>
      <c r="E6">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EDF9A-C2E0-5B46-BAAE-A3E32F4A08DD}">
  <dimension ref="A1:J7"/>
  <sheetViews>
    <sheetView workbookViewId="0">
      <selection activeCell="I3" sqref="I3"/>
    </sheetView>
  </sheetViews>
  <sheetFormatPr baseColWidth="10" defaultRowHeight="16" x14ac:dyDescent="0.2"/>
  <cols>
    <col min="1" max="1" width="18.5" bestFit="1" customWidth="1"/>
    <col min="4" max="4" width="12.83203125" customWidth="1"/>
    <col min="9" max="9" width="12" customWidth="1"/>
    <col min="10" max="10" width="11.1640625" customWidth="1"/>
  </cols>
  <sheetData>
    <row r="1" spans="1:10" x14ac:dyDescent="0.2">
      <c r="A1" t="s">
        <v>67</v>
      </c>
      <c r="B1" t="s">
        <v>68</v>
      </c>
      <c r="C1" t="s">
        <v>69</v>
      </c>
      <c r="D1" t="s">
        <v>70</v>
      </c>
      <c r="E1" t="s">
        <v>71</v>
      </c>
      <c r="F1" t="s">
        <v>72</v>
      </c>
      <c r="G1" t="s">
        <v>73</v>
      </c>
      <c r="H1" t="s">
        <v>74</v>
      </c>
      <c r="I1" t="s">
        <v>75</v>
      </c>
      <c r="J1" t="s">
        <v>76</v>
      </c>
    </row>
    <row r="2" spans="1:10" x14ac:dyDescent="0.2">
      <c r="A2" t="s">
        <v>120</v>
      </c>
      <c r="B2">
        <v>1</v>
      </c>
      <c r="C2">
        <v>1</v>
      </c>
      <c r="D2">
        <v>1</v>
      </c>
      <c r="E2">
        <v>1</v>
      </c>
      <c r="F2">
        <v>1</v>
      </c>
      <c r="G2">
        <v>0</v>
      </c>
      <c r="H2">
        <v>0</v>
      </c>
      <c r="I2" s="8">
        <v>44478</v>
      </c>
      <c r="J2" s="8">
        <v>44843</v>
      </c>
    </row>
    <row r="3" spans="1:10" x14ac:dyDescent="0.2">
      <c r="A3" t="s">
        <v>121</v>
      </c>
      <c r="B3">
        <v>1</v>
      </c>
      <c r="C3">
        <v>1</v>
      </c>
      <c r="D3">
        <v>1</v>
      </c>
      <c r="E3">
        <v>1</v>
      </c>
      <c r="F3">
        <v>1</v>
      </c>
      <c r="G3">
        <v>0</v>
      </c>
      <c r="H3">
        <v>0</v>
      </c>
      <c r="I3" s="8">
        <v>44478</v>
      </c>
      <c r="J3" s="8">
        <v>44843</v>
      </c>
    </row>
    <row r="4" spans="1:10" x14ac:dyDescent="0.2">
      <c r="A4" t="s">
        <v>122</v>
      </c>
      <c r="B4">
        <v>0</v>
      </c>
      <c r="C4">
        <v>0</v>
      </c>
      <c r="D4">
        <v>0</v>
      </c>
      <c r="E4">
        <v>0</v>
      </c>
      <c r="F4">
        <v>0</v>
      </c>
      <c r="G4">
        <v>1</v>
      </c>
      <c r="H4">
        <v>0</v>
      </c>
      <c r="I4" s="8">
        <v>44478</v>
      </c>
      <c r="J4" s="8">
        <v>44843</v>
      </c>
    </row>
    <row r="5" spans="1:10" x14ac:dyDescent="0.2">
      <c r="A5" t="s">
        <v>123</v>
      </c>
      <c r="B5">
        <v>0</v>
      </c>
      <c r="C5">
        <v>0</v>
      </c>
      <c r="D5">
        <v>0</v>
      </c>
      <c r="E5">
        <v>0</v>
      </c>
      <c r="F5">
        <v>0</v>
      </c>
      <c r="G5">
        <v>1</v>
      </c>
      <c r="H5">
        <v>0</v>
      </c>
      <c r="I5" s="8">
        <v>44478</v>
      </c>
      <c r="J5" s="8">
        <v>44843</v>
      </c>
    </row>
    <row r="6" spans="1:10" x14ac:dyDescent="0.2">
      <c r="A6" t="s">
        <v>124</v>
      </c>
      <c r="B6">
        <v>0</v>
      </c>
      <c r="C6">
        <v>0</v>
      </c>
      <c r="D6">
        <v>0</v>
      </c>
      <c r="E6">
        <v>0</v>
      </c>
      <c r="F6">
        <v>0</v>
      </c>
      <c r="G6">
        <v>0</v>
      </c>
      <c r="H6">
        <v>1</v>
      </c>
      <c r="I6" s="8">
        <v>44478</v>
      </c>
      <c r="J6" s="8">
        <v>44843</v>
      </c>
    </row>
    <row r="7" spans="1:10" x14ac:dyDescent="0.2">
      <c r="A7" t="s">
        <v>125</v>
      </c>
      <c r="B7">
        <v>0</v>
      </c>
      <c r="C7">
        <v>0</v>
      </c>
      <c r="D7">
        <v>0</v>
      </c>
      <c r="E7">
        <v>0</v>
      </c>
      <c r="F7">
        <v>0</v>
      </c>
      <c r="G7">
        <v>0</v>
      </c>
      <c r="H7">
        <v>1</v>
      </c>
      <c r="I7" s="8">
        <v>44478</v>
      </c>
      <c r="J7" s="8">
        <v>44843</v>
      </c>
    </row>
  </sheetData>
  <conditionalFormatting sqref="B2:H7">
    <cfRule type="cellIs" dxfId="5" priority="2" operator="equal">
      <formula>1</formula>
    </cfRule>
    <cfRule type="cellIs" dxfId="4" priority="3" operator="equal">
      <formula>0</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1" id="{079DBDBC-81FC-6C47-9F64-4DD97907A5BC}">
            <xm:f>ISERROR(MATCH(A2,'Settings &amp; Checks'!$A$4:$A$62,0))</xm:f>
            <x14:dxf>
              <font>
                <color rgb="FF9C0006"/>
              </font>
              <fill>
                <patternFill>
                  <bgColor rgb="FFFFC7CE"/>
                </patternFill>
              </fill>
            </x14:dxf>
          </x14:cfRule>
          <xm:sqref>A2:A7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7F66D-2934-6148-ADFD-C819F5CC7997}">
  <dimension ref="A1:C6"/>
  <sheetViews>
    <sheetView workbookViewId="0">
      <selection activeCell="I20" sqref="I20"/>
    </sheetView>
  </sheetViews>
  <sheetFormatPr baseColWidth="10" defaultRowHeight="16" x14ac:dyDescent="0.2"/>
  <cols>
    <col min="1" max="1" width="14.1640625" bestFit="1" customWidth="1"/>
    <col min="3" max="3" width="16.33203125" bestFit="1" customWidth="1"/>
  </cols>
  <sheetData>
    <row r="1" spans="1:3" x14ac:dyDescent="0.2">
      <c r="A1" t="s">
        <v>67</v>
      </c>
      <c r="B1" t="s">
        <v>112</v>
      </c>
      <c r="C1" t="s">
        <v>118</v>
      </c>
    </row>
    <row r="2" spans="1:3" x14ac:dyDescent="0.2">
      <c r="A2" t="s">
        <v>113</v>
      </c>
      <c r="B2" s="8">
        <v>44541</v>
      </c>
      <c r="C2">
        <v>3</v>
      </c>
    </row>
    <row r="3" spans="1:3" x14ac:dyDescent="0.2">
      <c r="A3" t="s">
        <v>114</v>
      </c>
      <c r="B3" s="8">
        <v>44541</v>
      </c>
      <c r="C3">
        <v>3</v>
      </c>
    </row>
    <row r="4" spans="1:3" x14ac:dyDescent="0.2">
      <c r="A4" t="s">
        <v>115</v>
      </c>
      <c r="B4" s="8">
        <v>44542</v>
      </c>
      <c r="C4">
        <v>3</v>
      </c>
    </row>
    <row r="5" spans="1:3" x14ac:dyDescent="0.2">
      <c r="A5" t="s">
        <v>116</v>
      </c>
      <c r="B5" s="8">
        <v>44543</v>
      </c>
      <c r="C5">
        <v>3</v>
      </c>
    </row>
    <row r="6" spans="1:3" x14ac:dyDescent="0.2">
      <c r="A6" t="s">
        <v>117</v>
      </c>
      <c r="B6" s="8">
        <v>44543</v>
      </c>
      <c r="C6">
        <v>3</v>
      </c>
    </row>
  </sheetData>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 id="{C462FB9B-3058-E849-927B-1B778C757338}">
            <xm:f>ISERROR(MATCH(A2,'Settings &amp; Checks'!$A$4:$A$62,0))</xm:f>
            <x14:dxf>
              <font>
                <color rgb="FF9C0006"/>
              </font>
              <fill>
                <patternFill>
                  <bgColor rgb="FFFFC7CE"/>
                </patternFill>
              </fill>
            </x14:dxf>
          </x14:cfRule>
          <xm:sqref>A2:A6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62E38-FBB1-1C48-834A-096BFE88CCB1}">
  <dimension ref="A1:U61"/>
  <sheetViews>
    <sheetView workbookViewId="0">
      <selection activeCell="M12" sqref="M12"/>
    </sheetView>
  </sheetViews>
  <sheetFormatPr baseColWidth="10" defaultRowHeight="16" x14ac:dyDescent="0.2"/>
  <cols>
    <col min="1" max="1" width="8" customWidth="1"/>
    <col min="2" max="2" width="5" customWidth="1"/>
    <col min="3" max="3" width="10.33203125" bestFit="1" customWidth="1"/>
    <col min="4" max="4" width="15.83203125" bestFit="1" customWidth="1"/>
    <col min="5" max="6" width="4" customWidth="1"/>
    <col min="7" max="19" width="8.1640625" bestFit="1" customWidth="1"/>
    <col min="20" max="20" width="10" bestFit="1" customWidth="1"/>
    <col min="21" max="21" width="5.6640625" bestFit="1" customWidth="1"/>
  </cols>
  <sheetData>
    <row r="1" spans="1:21" ht="92" x14ac:dyDescent="0.2">
      <c r="A1" s="6" t="str">
        <f>_xlfn.IFNA(INDEX(Stops!$2:$1048576,MATCH(A2,Stops!$A$2:$A$1048576,0),MATCH("stop_name",Stops!$1:$1,0)),IF(ISBLANK(A2),"",A2))</f>
        <v>route_id</v>
      </c>
      <c r="B1" s="6" t="str">
        <f>_xlfn.IFNA(INDEX(Stops!$2:$1048576,MATCH(B2,Stops!$A$2:$A$1048576,0),MATCH("stop_name",Stops!$1:$1,0)),IF(ISBLANK(B2),"",B2))</f>
        <v>direction_id</v>
      </c>
      <c r="C1" s="6" t="str">
        <f>_xlfn.IFNA(INDEX(Stops!$2:$1048576,MATCH(C2,Stops!$A$2:$A$1048576,0),MATCH("stop_name",Stops!$1:$1,0)),IF(ISBLANK(C2),"",C2))</f>
        <v>shape_id</v>
      </c>
      <c r="D1" s="6" t="str">
        <f>_xlfn.IFNA(INDEX(Stops!$2:$1048576,MATCH(D2,Stops!$A$2:$A$1048576,0),MATCH("stop_name",Stops!$1:$1,0)),IF(ISBLANK(D2),"",D2))</f>
        <v>headsign</v>
      </c>
      <c r="E1" s="6" t="str">
        <f>_xlfn.IFNA(INDEX(Stops!$2:$1048576,MATCH(E2,Stops!$A$2:$A$1048576,0),MATCH("stop_name",Stops!$1:$1,0)),IF(ISBLANK(E2),"",E2))</f>
        <v>wheelchair_accessible</v>
      </c>
      <c r="F1" s="6" t="str">
        <f>_xlfn.IFNA(INDEX(Stops!$2:$1048576,MATCH(F2,Stops!$A$2:$A$1048576,0),MATCH("stop_name",Stops!$1:$1,0)),IF(ISBLANK(F2),"",F2))</f>
        <v>bikes_allowed</v>
      </c>
      <c r="G1" s="6" t="str">
        <f>_xlfn.IFNA(INDEX(Stops!$2:$1048576,MATCH(G2,Stops!$A$2:$A$1048576,0),MATCH("stop_name",Stops!$1:$1,0)),IF(ISBLANK(G2),"",G2))</f>
        <v>Lindenwold</v>
      </c>
      <c r="H1" s="6" t="str">
        <f>_xlfn.IFNA(INDEX(Stops!$2:$1048576,MATCH(H2,Stops!$A$2:$A$1048576,0),MATCH("stop_name",Stops!$1:$1,0)),IF(ISBLANK(H2),"",H2))</f>
        <v>Ashland</v>
      </c>
      <c r="I1" s="6" t="str">
        <f>_xlfn.IFNA(INDEX(Stops!$2:$1048576,MATCH(I2,Stops!$A$2:$A$1048576,0),MATCH("stop_name",Stops!$1:$1,0)),IF(ISBLANK(I2),"",I2))</f>
        <v>Woodcrest</v>
      </c>
      <c r="J1" s="6" t="str">
        <f>_xlfn.IFNA(INDEX(Stops!$2:$1048576,MATCH(J2,Stops!$A$2:$A$1048576,0),MATCH("stop_name",Stops!$1:$1,0)),IF(ISBLANK(J2),"",J2))</f>
        <v>Haddonfield</v>
      </c>
      <c r="K1" s="6" t="str">
        <f>_xlfn.IFNA(INDEX(Stops!$2:$1048576,MATCH(K2,Stops!$A$2:$A$1048576,0),MATCH("stop_name",Stops!$1:$1,0)),IF(ISBLANK(K2),"",K2))</f>
        <v>Westmont</v>
      </c>
      <c r="L1" s="6" t="str">
        <f>_xlfn.IFNA(INDEX(Stops!$2:$1048576,MATCH(L2,Stops!$A$2:$A$1048576,0),MATCH("stop_name",Stops!$1:$1,0)),IF(ISBLANK(L2),"",L2))</f>
        <v>Collingswood</v>
      </c>
      <c r="M1" s="6" t="str">
        <f>_xlfn.IFNA(INDEX(Stops!$2:$1048576,MATCH(M2,Stops!$A$2:$A$1048576,0),MATCH("stop_name",Stops!$1:$1,0)),IF(ISBLANK(M2),"",M2))</f>
        <v>Ferry Avenue</v>
      </c>
      <c r="N1" s="6" t="str">
        <f>_xlfn.IFNA(INDEX(Stops!$2:$1048576,MATCH(N2,Stops!$A$2:$A$1048576,0),MATCH("stop_name",Stops!$1:$1,0)),IF(ISBLANK(N2),"",N2))</f>
        <v>Broadway</v>
      </c>
      <c r="O1" s="6" t="str">
        <f>_xlfn.IFNA(INDEX(Stops!$2:$1048576,MATCH(O2,Stops!$A$2:$A$1048576,0),MATCH("stop_name",Stops!$1:$1,0)),IF(ISBLANK(O2),"",O2))</f>
        <v>City Hall</v>
      </c>
      <c r="P1" s="6" t="str">
        <f>_xlfn.IFNA(INDEX(Stops!$2:$1048576,MATCH(P2,Stops!$A$2:$A$1048576,0),MATCH("stop_name",Stops!$1:$1,0)),IF(ISBLANK(P2),"",P2))</f>
        <v>8th and Market</v>
      </c>
      <c r="Q1" s="6" t="str">
        <f>_xlfn.IFNA(INDEX(Stops!$2:$1048576,MATCH(Q2,Stops!$A$2:$A$1048576,0),MATCH("stop_name",Stops!$1:$1,0)),IF(ISBLANK(Q2),"",Q2))</f>
        <v>9-10th and Locust</v>
      </c>
      <c r="R1" s="6" t="str">
        <f>_xlfn.IFNA(INDEX(Stops!$2:$1048576,MATCH(R2,Stops!$A$2:$A$1048576,0),MATCH("stop_name",Stops!$1:$1,0)),IF(ISBLANK(R2),"",R2))</f>
        <v>12-13th and Locust</v>
      </c>
      <c r="S1" s="6" t="str">
        <f>_xlfn.IFNA(INDEX(Stops!$2:$1048576,MATCH(S2,Stops!$A$2:$A$1048576,0),MATCH("stop_name",Stops!$1:$1,0)),IF(ISBLANK(S2),"",S2))</f>
        <v>15-16th and Locust</v>
      </c>
      <c r="T1" s="7" t="str">
        <f>_xlfn.IFNA(INDEX(Stops!$2:$1048576,MATCH(T2,Stops!$A$2:$A$1048576,0),MATCH("stop_name",Stops!$1:$1,0)),IF(ISBLANK(T2),"",T2))</f>
        <v>Then Every</v>
      </c>
      <c r="U1" s="6" t="str">
        <f>_xlfn.IFNA(INDEX(Stops!$2:$1048576,MATCH(U2,Stops!$A$2:$A$1048576,0),MATCH("stop_name",Stops!$1:$1,0)),IF(ISBLANK(U2),"",U2))</f>
        <v>Until</v>
      </c>
    </row>
    <row r="2" spans="1:21" x14ac:dyDescent="0.2">
      <c r="A2" s="2" t="s">
        <v>14</v>
      </c>
      <c r="B2" s="2" t="s">
        <v>77</v>
      </c>
      <c r="C2" s="2" t="s">
        <v>24</v>
      </c>
      <c r="D2" s="2" t="s">
        <v>81</v>
      </c>
      <c r="E2" s="2" t="s">
        <v>78</v>
      </c>
      <c r="F2" s="2" t="s">
        <v>79</v>
      </c>
      <c r="G2" s="10" t="s">
        <v>138</v>
      </c>
      <c r="H2" s="10" t="s">
        <v>129</v>
      </c>
      <c r="I2" s="10" t="s">
        <v>136</v>
      </c>
      <c r="J2" s="10" t="s">
        <v>137</v>
      </c>
      <c r="K2" s="10" t="s">
        <v>135</v>
      </c>
      <c r="L2" s="10" t="s">
        <v>134</v>
      </c>
      <c r="M2" s="10" t="s">
        <v>133</v>
      </c>
      <c r="N2" s="10" t="s">
        <v>132</v>
      </c>
      <c r="O2" s="10" t="s">
        <v>128</v>
      </c>
      <c r="P2" s="10" t="s">
        <v>130</v>
      </c>
      <c r="Q2" s="10" t="s">
        <v>131</v>
      </c>
      <c r="R2" s="10" t="s">
        <v>139</v>
      </c>
      <c r="S2" s="10" t="s">
        <v>140</v>
      </c>
      <c r="T2" s="4" t="s">
        <v>83</v>
      </c>
      <c r="U2" s="2" t="s">
        <v>84</v>
      </c>
    </row>
    <row r="3" spans="1:21" x14ac:dyDescent="0.2">
      <c r="A3" t="s">
        <v>8</v>
      </c>
      <c r="B3">
        <v>1</v>
      </c>
      <c r="C3" t="s">
        <v>87</v>
      </c>
      <c r="D3" t="s">
        <v>82</v>
      </c>
      <c r="E3">
        <v>1</v>
      </c>
      <c r="F3">
        <v>1</v>
      </c>
      <c r="G3" s="1">
        <v>0</v>
      </c>
      <c r="H3" s="1">
        <v>1.3888888888888889E-3</v>
      </c>
      <c r="I3" s="1">
        <v>2.0833333333333333E-3</v>
      </c>
      <c r="J3" s="1">
        <v>4.1666666666666666E-3</v>
      </c>
      <c r="K3" s="1">
        <v>5.5555555555555558E-3</v>
      </c>
      <c r="L3" s="1">
        <v>6.9444444444444441E-3</v>
      </c>
      <c r="M3" s="1">
        <v>8.3333333333333332E-3</v>
      </c>
      <c r="N3" s="1">
        <v>1.1111111111111112E-2</v>
      </c>
      <c r="O3" s="1">
        <v>1.2499999999999999E-2</v>
      </c>
      <c r="P3" s="1">
        <v>1.5972222222222224E-2</v>
      </c>
      <c r="Q3" s="1"/>
      <c r="R3" s="1">
        <v>1.8055555555555557E-2</v>
      </c>
      <c r="S3" s="1">
        <v>1.8749999999999999E-2</v>
      </c>
      <c r="T3" s="5">
        <f>TIME(0,60,0)</f>
        <v>4.1666666666666664E-2</v>
      </c>
      <c r="U3" s="3">
        <v>0.125</v>
      </c>
    </row>
    <row r="4" spans="1:21" x14ac:dyDescent="0.2">
      <c r="A4" t="s">
        <v>8</v>
      </c>
      <c r="B4">
        <v>1</v>
      </c>
      <c r="C4" t="s">
        <v>87</v>
      </c>
      <c r="D4" t="s">
        <v>82</v>
      </c>
      <c r="E4">
        <v>1</v>
      </c>
      <c r="F4">
        <v>1</v>
      </c>
      <c r="G4" s="1">
        <v>0.16666666666666666</v>
      </c>
      <c r="H4" s="1">
        <v>0.16805555555555554</v>
      </c>
      <c r="I4" s="1">
        <v>0.16874999999999998</v>
      </c>
      <c r="J4" s="1">
        <v>0.17083333333333331</v>
      </c>
      <c r="K4" s="1">
        <v>0.17222222222222225</v>
      </c>
      <c r="L4" s="1">
        <v>0.17361111111111113</v>
      </c>
      <c r="M4" s="1">
        <v>0.17500000000000002</v>
      </c>
      <c r="N4" s="1">
        <v>0.17777777777777778</v>
      </c>
      <c r="O4" s="1">
        <v>0.17916666666666667</v>
      </c>
      <c r="P4" s="1">
        <v>0.18263888888888891</v>
      </c>
      <c r="Q4" s="1">
        <v>0.18402777777777779</v>
      </c>
      <c r="R4" s="1">
        <v>0.18472222222222223</v>
      </c>
      <c r="S4" s="1">
        <v>0.18541666666666667</v>
      </c>
      <c r="T4" s="5"/>
    </row>
    <row r="5" spans="1:21" x14ac:dyDescent="0.2">
      <c r="A5" t="s">
        <v>8</v>
      </c>
      <c r="B5">
        <v>1</v>
      </c>
      <c r="C5" t="s">
        <v>87</v>
      </c>
      <c r="D5" t="s">
        <v>82</v>
      </c>
      <c r="E5">
        <v>1</v>
      </c>
      <c r="F5">
        <v>1</v>
      </c>
      <c r="G5" s="1">
        <v>0.1875</v>
      </c>
      <c r="H5" s="1">
        <v>0.18888888888888888</v>
      </c>
      <c r="I5" s="1">
        <v>0.18958333333333333</v>
      </c>
      <c r="J5" s="1">
        <v>0.19166666666666665</v>
      </c>
      <c r="K5" s="1">
        <v>0.19305555555555554</v>
      </c>
      <c r="L5" s="1">
        <v>0.19444444444444445</v>
      </c>
      <c r="M5" s="1">
        <v>0.19583333333333333</v>
      </c>
      <c r="N5" s="1">
        <v>0.1986111111111111</v>
      </c>
      <c r="O5" s="1">
        <v>0.19999999999999998</v>
      </c>
      <c r="P5" s="1">
        <v>0.20347222222222219</v>
      </c>
      <c r="Q5" s="1">
        <v>0.20486111111111113</v>
      </c>
      <c r="R5" s="1">
        <v>0.20555555555555557</v>
      </c>
      <c r="S5" s="1">
        <v>0.20625000000000002</v>
      </c>
      <c r="T5" s="5"/>
    </row>
    <row r="6" spans="1:21" x14ac:dyDescent="0.2">
      <c r="A6" t="s">
        <v>8</v>
      </c>
      <c r="B6">
        <v>1</v>
      </c>
      <c r="C6" t="s">
        <v>87</v>
      </c>
      <c r="D6" t="s">
        <v>82</v>
      </c>
      <c r="E6">
        <v>1</v>
      </c>
      <c r="F6">
        <v>1</v>
      </c>
      <c r="G6" s="1">
        <v>0.20833333333333334</v>
      </c>
      <c r="H6" s="1">
        <v>0.20972222222222223</v>
      </c>
      <c r="I6" s="1">
        <v>0.21041666666666667</v>
      </c>
      <c r="J6" s="1">
        <v>0.21249999999999999</v>
      </c>
      <c r="K6" s="1">
        <v>0.21388888888888891</v>
      </c>
      <c r="L6" s="1">
        <v>0.21527777777777779</v>
      </c>
      <c r="M6" s="1">
        <v>0.21666666666666667</v>
      </c>
      <c r="N6" s="1">
        <v>0.21944444444444444</v>
      </c>
      <c r="O6" s="1">
        <v>0.22083333333333333</v>
      </c>
      <c r="P6" s="1">
        <v>0.22430555555555556</v>
      </c>
      <c r="Q6" s="1">
        <v>0.22569444444444445</v>
      </c>
      <c r="R6" s="1">
        <v>0.22638888888888889</v>
      </c>
      <c r="S6" s="1">
        <v>0.22708333333333333</v>
      </c>
      <c r="T6" s="5"/>
    </row>
    <row r="7" spans="1:21" x14ac:dyDescent="0.2">
      <c r="A7" t="s">
        <v>8</v>
      </c>
      <c r="B7">
        <v>1</v>
      </c>
      <c r="C7" t="s">
        <v>87</v>
      </c>
      <c r="D7" t="s">
        <v>82</v>
      </c>
      <c r="E7">
        <v>1</v>
      </c>
      <c r="F7">
        <v>1</v>
      </c>
      <c r="G7" s="1">
        <v>0.21875</v>
      </c>
      <c r="H7" s="1">
        <v>0.22013888888888888</v>
      </c>
      <c r="I7" s="1">
        <v>0.22083333333333333</v>
      </c>
      <c r="J7" s="1">
        <v>0.22291666666666665</v>
      </c>
      <c r="K7" s="1">
        <v>0.22430555555555556</v>
      </c>
      <c r="L7" s="1">
        <v>0.22569444444444445</v>
      </c>
      <c r="M7" s="1">
        <v>0.22708333333333333</v>
      </c>
      <c r="N7" s="1">
        <v>0.2298611111111111</v>
      </c>
      <c r="O7" s="1">
        <v>0.23124999999999998</v>
      </c>
      <c r="P7" s="1">
        <v>0.23472222222222219</v>
      </c>
      <c r="Q7" s="1">
        <v>0.23611111111111113</v>
      </c>
      <c r="R7" s="1">
        <v>0.23680555555555557</v>
      </c>
      <c r="S7" s="1">
        <v>0.23750000000000002</v>
      </c>
      <c r="T7" s="5"/>
    </row>
    <row r="8" spans="1:21" x14ac:dyDescent="0.2">
      <c r="A8" t="s">
        <v>8</v>
      </c>
      <c r="B8">
        <v>1</v>
      </c>
      <c r="C8" t="s">
        <v>87</v>
      </c>
      <c r="D8" t="s">
        <v>82</v>
      </c>
      <c r="E8">
        <v>1</v>
      </c>
      <c r="F8">
        <v>1</v>
      </c>
      <c r="G8" s="1">
        <v>0.22916666666666666</v>
      </c>
      <c r="H8" s="1">
        <v>0.23055555555555554</v>
      </c>
      <c r="I8" s="1">
        <v>0.23124999999999998</v>
      </c>
      <c r="J8" s="1">
        <v>0.23333333333333331</v>
      </c>
      <c r="K8" s="1">
        <v>0.23472222222222219</v>
      </c>
      <c r="L8" s="1">
        <v>0.23611111111111113</v>
      </c>
      <c r="M8" s="1">
        <v>0.23750000000000002</v>
      </c>
      <c r="N8" s="1">
        <v>0.24027777777777778</v>
      </c>
      <c r="O8" s="1">
        <v>0.24166666666666667</v>
      </c>
      <c r="P8" s="1">
        <v>0.24513888888888888</v>
      </c>
      <c r="Q8" s="1">
        <v>0.24652777777777779</v>
      </c>
      <c r="R8" s="1">
        <v>0.24722222222222223</v>
      </c>
      <c r="S8" s="1">
        <v>0.24791666666666667</v>
      </c>
      <c r="T8" s="5"/>
    </row>
    <row r="9" spans="1:21" x14ac:dyDescent="0.2">
      <c r="A9" t="s">
        <v>8</v>
      </c>
      <c r="B9">
        <v>1</v>
      </c>
      <c r="C9" t="s">
        <v>87</v>
      </c>
      <c r="D9" t="s">
        <v>82</v>
      </c>
      <c r="E9">
        <v>1</v>
      </c>
      <c r="F9">
        <v>1</v>
      </c>
      <c r="G9" s="1">
        <v>0.23958333333333334</v>
      </c>
      <c r="H9" s="1">
        <v>0.24097222222222223</v>
      </c>
      <c r="I9" s="1">
        <v>0.24166666666666667</v>
      </c>
      <c r="J9" s="1">
        <v>0.24374999999999999</v>
      </c>
      <c r="K9" s="1">
        <v>0.24513888888888888</v>
      </c>
      <c r="L9" s="1">
        <v>0.24652777777777779</v>
      </c>
      <c r="M9" s="1">
        <v>0.24791666666666667</v>
      </c>
      <c r="N9" s="1">
        <v>0.25069444444444444</v>
      </c>
      <c r="O9" s="1">
        <v>0.25208333333333333</v>
      </c>
      <c r="P9" s="1">
        <v>0.25555555555555559</v>
      </c>
      <c r="Q9" s="1">
        <v>0.25694444444444448</v>
      </c>
      <c r="R9" s="1">
        <v>0.25763888888888892</v>
      </c>
      <c r="S9" s="1">
        <v>0.25833333333333336</v>
      </c>
      <c r="T9" s="5"/>
    </row>
    <row r="10" spans="1:21" x14ac:dyDescent="0.2">
      <c r="A10" t="s">
        <v>8</v>
      </c>
      <c r="B10">
        <v>1</v>
      </c>
      <c r="C10" t="s">
        <v>87</v>
      </c>
      <c r="D10" t="s">
        <v>82</v>
      </c>
      <c r="E10">
        <v>1</v>
      </c>
      <c r="F10">
        <v>1</v>
      </c>
      <c r="G10" s="1">
        <v>0.25</v>
      </c>
      <c r="H10" s="1">
        <v>0.25138888888888888</v>
      </c>
      <c r="I10" s="1">
        <v>0.25208333333333333</v>
      </c>
      <c r="J10" s="1">
        <v>0.25416666666666665</v>
      </c>
      <c r="K10" s="1">
        <v>0.25555555555555559</v>
      </c>
      <c r="L10" s="1">
        <v>0.25694444444444448</v>
      </c>
      <c r="M10" s="1">
        <v>0.25833333333333336</v>
      </c>
      <c r="N10" s="1">
        <v>0.26111111111111113</v>
      </c>
      <c r="O10" s="1">
        <v>0.26250000000000001</v>
      </c>
      <c r="P10" s="1">
        <v>0.26597222222222222</v>
      </c>
      <c r="Q10" s="1">
        <v>0.2673611111111111</v>
      </c>
      <c r="R10" s="1">
        <v>0.26805555555555555</v>
      </c>
      <c r="S10" s="1">
        <v>0.26874999999999999</v>
      </c>
      <c r="T10" s="5"/>
    </row>
    <row r="11" spans="1:21" x14ac:dyDescent="0.2">
      <c r="A11" t="s">
        <v>8</v>
      </c>
      <c r="B11">
        <v>1</v>
      </c>
      <c r="C11" t="s">
        <v>87</v>
      </c>
      <c r="D11" t="s">
        <v>82</v>
      </c>
      <c r="E11">
        <v>1</v>
      </c>
      <c r="F11">
        <v>1</v>
      </c>
      <c r="G11" s="1">
        <v>0.25694444444444448</v>
      </c>
      <c r="H11" s="1">
        <v>0.25833333333333336</v>
      </c>
      <c r="I11" s="1">
        <v>0.2590277777777778</v>
      </c>
      <c r="J11" s="1">
        <v>0.26111111111111113</v>
      </c>
      <c r="K11" s="1">
        <v>0.26250000000000001</v>
      </c>
      <c r="L11" s="1">
        <v>0.2638888888888889</v>
      </c>
      <c r="M11" s="1">
        <v>0.26527777777777778</v>
      </c>
      <c r="N11" s="1">
        <v>0.26805555555555555</v>
      </c>
      <c r="O11" s="1">
        <v>0.26944444444444443</v>
      </c>
      <c r="P11" s="1">
        <v>0.27291666666666664</v>
      </c>
      <c r="Q11" s="1">
        <v>0.27430555555555552</v>
      </c>
      <c r="R11" s="1">
        <v>0.27499999999999997</v>
      </c>
      <c r="S11" s="1">
        <v>0.27569444444444446</v>
      </c>
      <c r="T11" s="5"/>
    </row>
    <row r="12" spans="1:21" x14ac:dyDescent="0.2">
      <c r="A12" t="s">
        <v>8</v>
      </c>
      <c r="B12">
        <v>1</v>
      </c>
      <c r="C12" t="s">
        <v>87</v>
      </c>
      <c r="D12" t="s">
        <v>82</v>
      </c>
      <c r="E12">
        <v>1</v>
      </c>
      <c r="F12">
        <v>1</v>
      </c>
      <c r="G12" s="1">
        <v>0.2638888888888889</v>
      </c>
      <c r="H12" s="1">
        <v>0.26527777777777778</v>
      </c>
      <c r="I12" s="1">
        <v>0.26597222222222222</v>
      </c>
      <c r="J12" s="1">
        <v>0.26805555555555555</v>
      </c>
      <c r="K12" s="1">
        <v>0.26944444444444443</v>
      </c>
      <c r="L12" s="1">
        <v>0.27083333333333331</v>
      </c>
      <c r="M12" s="1">
        <v>0.2722222222222222</v>
      </c>
      <c r="N12" s="1">
        <v>0.27499999999999997</v>
      </c>
      <c r="O12" s="1">
        <v>0.27638888888888885</v>
      </c>
      <c r="P12" s="1">
        <v>0.27986111111111112</v>
      </c>
      <c r="Q12" s="1">
        <v>0.28125</v>
      </c>
      <c r="R12" s="1">
        <v>0.28194444444444444</v>
      </c>
      <c r="S12" s="1">
        <v>0.28263888888888888</v>
      </c>
      <c r="T12" s="5"/>
    </row>
    <row r="13" spans="1:21" x14ac:dyDescent="0.2">
      <c r="A13" t="s">
        <v>8</v>
      </c>
      <c r="B13">
        <v>1</v>
      </c>
      <c r="C13" t="s">
        <v>87</v>
      </c>
      <c r="D13" t="s">
        <v>82</v>
      </c>
      <c r="E13">
        <v>1</v>
      </c>
      <c r="F13">
        <v>1</v>
      </c>
      <c r="G13" s="1">
        <v>0.27083333333333331</v>
      </c>
      <c r="H13" s="1">
        <v>0.2722222222222222</v>
      </c>
      <c r="I13" s="1">
        <v>0.27291666666666664</v>
      </c>
      <c r="J13" s="1">
        <v>0.27499999999999997</v>
      </c>
      <c r="K13" s="1">
        <v>0.27638888888888885</v>
      </c>
      <c r="L13" s="1">
        <v>0.27777777777777779</v>
      </c>
      <c r="M13" s="1">
        <v>0.27916666666666667</v>
      </c>
      <c r="N13" s="1">
        <v>0.28194444444444444</v>
      </c>
      <c r="O13" s="1">
        <v>0.28333333333333333</v>
      </c>
      <c r="P13" s="1">
        <v>0.28680555555555554</v>
      </c>
      <c r="Q13" s="1">
        <v>0.28819444444444448</v>
      </c>
      <c r="R13" s="1">
        <v>0.28888888888888892</v>
      </c>
      <c r="S13" s="1">
        <v>0.28958333333333336</v>
      </c>
      <c r="T13" s="5"/>
    </row>
    <row r="14" spans="1:21" x14ac:dyDescent="0.2">
      <c r="A14" t="s">
        <v>8</v>
      </c>
      <c r="B14">
        <v>1</v>
      </c>
      <c r="C14" t="s">
        <v>87</v>
      </c>
      <c r="D14" t="s">
        <v>82</v>
      </c>
      <c r="E14">
        <v>1</v>
      </c>
      <c r="F14">
        <v>1</v>
      </c>
      <c r="G14" s="1">
        <v>0.27777777777777779</v>
      </c>
      <c r="H14" s="1">
        <v>0.27916666666666667</v>
      </c>
      <c r="I14" s="1">
        <v>0.27986111111111112</v>
      </c>
      <c r="J14" s="1">
        <v>0.28194444444444444</v>
      </c>
      <c r="K14" s="1">
        <v>0.28333333333333333</v>
      </c>
      <c r="L14" s="1">
        <v>0.28472222222222221</v>
      </c>
      <c r="M14" s="1">
        <v>0.28611111111111115</v>
      </c>
      <c r="N14" s="1">
        <v>0.28888888888888892</v>
      </c>
      <c r="O14" s="1">
        <v>0.2902777777777778</v>
      </c>
      <c r="P14" s="1">
        <v>0.29375000000000001</v>
      </c>
      <c r="Q14" s="1">
        <v>0.2951388888888889</v>
      </c>
      <c r="R14" s="1">
        <v>0.29583333333333334</v>
      </c>
      <c r="S14" s="1">
        <v>0.29652777777777778</v>
      </c>
      <c r="T14" s="5"/>
    </row>
    <row r="15" spans="1:21" x14ac:dyDescent="0.2">
      <c r="A15" t="s">
        <v>8</v>
      </c>
      <c r="B15">
        <v>1</v>
      </c>
      <c r="C15" t="s">
        <v>87</v>
      </c>
      <c r="D15" t="s">
        <v>82</v>
      </c>
      <c r="E15">
        <v>1</v>
      </c>
      <c r="F15">
        <v>1</v>
      </c>
      <c r="G15" s="1">
        <v>0.28472222222222221</v>
      </c>
      <c r="H15" s="1">
        <v>0.28611111111111115</v>
      </c>
      <c r="I15" s="1">
        <v>0.28680555555555554</v>
      </c>
      <c r="J15" s="1">
        <v>0.28888888888888892</v>
      </c>
      <c r="K15" s="1">
        <v>0.2902777777777778</v>
      </c>
      <c r="L15" s="1">
        <v>0.29166666666666669</v>
      </c>
      <c r="M15" s="1">
        <v>0.29305555555555557</v>
      </c>
      <c r="N15" s="1">
        <v>0.29583333333333334</v>
      </c>
      <c r="O15" s="1">
        <v>0.29722222222222222</v>
      </c>
      <c r="P15" s="1">
        <v>0.30069444444444443</v>
      </c>
      <c r="Q15" s="1">
        <v>0.30208333333333331</v>
      </c>
      <c r="R15" s="1">
        <v>0.30277777777777776</v>
      </c>
      <c r="S15" s="1">
        <v>0.3034722222222222</v>
      </c>
      <c r="T15" s="5"/>
    </row>
    <row r="16" spans="1:21" x14ac:dyDescent="0.2">
      <c r="A16" t="s">
        <v>8</v>
      </c>
      <c r="B16">
        <v>1</v>
      </c>
      <c r="C16" t="s">
        <v>87</v>
      </c>
      <c r="D16" t="s">
        <v>82</v>
      </c>
      <c r="E16">
        <v>1</v>
      </c>
      <c r="F16">
        <v>1</v>
      </c>
      <c r="G16" s="1">
        <v>0.2902777777777778</v>
      </c>
      <c r="H16" s="1">
        <v>0.29166666666666669</v>
      </c>
      <c r="I16" s="1">
        <v>0.29236111111111113</v>
      </c>
      <c r="J16" s="1">
        <v>0.29444444444444445</v>
      </c>
      <c r="K16" s="1">
        <v>0.29583333333333334</v>
      </c>
      <c r="L16" s="1">
        <v>0.29722222222222222</v>
      </c>
      <c r="M16" s="1">
        <v>0.2986111111111111</v>
      </c>
      <c r="N16" s="1">
        <v>0.30138888888888887</v>
      </c>
      <c r="O16" s="1">
        <v>0.30277777777777776</v>
      </c>
      <c r="P16" s="1">
        <v>0.30624999999999997</v>
      </c>
      <c r="Q16" s="1">
        <v>0.30763888888888891</v>
      </c>
      <c r="R16" s="1">
        <v>0.30833333333333335</v>
      </c>
      <c r="S16" s="1">
        <v>0.30902777777777779</v>
      </c>
      <c r="T16" s="5"/>
    </row>
    <row r="17" spans="1:20" x14ac:dyDescent="0.2">
      <c r="A17" t="s">
        <v>8</v>
      </c>
      <c r="B17">
        <v>1</v>
      </c>
      <c r="C17" t="s">
        <v>87</v>
      </c>
      <c r="D17" t="s">
        <v>82</v>
      </c>
      <c r="E17">
        <v>1</v>
      </c>
      <c r="F17">
        <v>1</v>
      </c>
      <c r="G17" s="1">
        <v>0.29444444444444445</v>
      </c>
      <c r="H17" s="1">
        <v>0.29583333333333334</v>
      </c>
      <c r="I17" s="1">
        <v>0.29652777777777778</v>
      </c>
      <c r="J17" s="1">
        <v>0.2986111111111111</v>
      </c>
      <c r="K17" s="1">
        <v>0.3</v>
      </c>
      <c r="L17" s="1">
        <v>0.30138888888888887</v>
      </c>
      <c r="M17" s="1">
        <v>0.30277777777777776</v>
      </c>
      <c r="N17" s="1">
        <v>0.30555555555555552</v>
      </c>
      <c r="O17" s="1">
        <v>0.30694444444444441</v>
      </c>
      <c r="P17" s="1">
        <v>0.31041666666666667</v>
      </c>
      <c r="Q17" s="1">
        <v>0.31180555555555556</v>
      </c>
      <c r="R17" s="1">
        <v>0.3125</v>
      </c>
      <c r="S17" s="1">
        <v>0.31319444444444444</v>
      </c>
      <c r="T17" s="5"/>
    </row>
    <row r="18" spans="1:20" x14ac:dyDescent="0.2">
      <c r="A18" t="s">
        <v>8</v>
      </c>
      <c r="B18">
        <v>1</v>
      </c>
      <c r="C18" t="s">
        <v>87</v>
      </c>
      <c r="D18" t="s">
        <v>82</v>
      </c>
      <c r="E18">
        <v>1</v>
      </c>
      <c r="F18">
        <v>1</v>
      </c>
      <c r="G18" s="1">
        <v>0.2986111111111111</v>
      </c>
      <c r="H18" s="1">
        <v>0.3</v>
      </c>
      <c r="I18" s="1">
        <v>0.30069444444444443</v>
      </c>
      <c r="J18" s="1">
        <v>0.30277777777777776</v>
      </c>
      <c r="K18" s="1">
        <v>0.30416666666666664</v>
      </c>
      <c r="L18" s="1">
        <v>0.30555555555555552</v>
      </c>
      <c r="M18" s="1">
        <v>0.30694444444444441</v>
      </c>
      <c r="N18" s="1">
        <v>0.30972222222222223</v>
      </c>
      <c r="O18" s="1">
        <v>0.31111111111111112</v>
      </c>
      <c r="P18" s="1">
        <v>0.31458333333333333</v>
      </c>
      <c r="Q18" s="1">
        <v>0.31597222222222221</v>
      </c>
      <c r="R18" s="1">
        <v>0.31666666666666665</v>
      </c>
      <c r="S18" s="1">
        <v>0.31736111111111115</v>
      </c>
      <c r="T18" s="5"/>
    </row>
    <row r="19" spans="1:20" x14ac:dyDescent="0.2">
      <c r="A19" t="s">
        <v>8</v>
      </c>
      <c r="B19">
        <v>1</v>
      </c>
      <c r="C19" t="s">
        <v>87</v>
      </c>
      <c r="D19" t="s">
        <v>82</v>
      </c>
      <c r="E19">
        <v>1</v>
      </c>
      <c r="F19">
        <v>1</v>
      </c>
      <c r="G19" s="1">
        <v>0.30277777777777776</v>
      </c>
      <c r="H19" s="1">
        <v>0.30416666666666664</v>
      </c>
      <c r="I19" s="1">
        <v>0.30486111111111108</v>
      </c>
      <c r="J19" s="1">
        <v>0.30694444444444441</v>
      </c>
      <c r="K19" s="1">
        <v>0.30833333333333335</v>
      </c>
      <c r="L19" s="1">
        <v>0.30972222222222223</v>
      </c>
      <c r="M19" s="1">
        <v>0.31111111111111112</v>
      </c>
      <c r="N19" s="1">
        <v>0.31388888888888888</v>
      </c>
      <c r="O19" s="1">
        <v>0.31527777777777777</v>
      </c>
      <c r="P19" s="1">
        <v>0.31875000000000003</v>
      </c>
      <c r="Q19" s="1">
        <v>0.32013888888888892</v>
      </c>
      <c r="R19" s="1">
        <v>0.32083333333333336</v>
      </c>
      <c r="S19" s="1">
        <v>0.3215277777777778</v>
      </c>
      <c r="T19" s="5"/>
    </row>
    <row r="20" spans="1:20" x14ac:dyDescent="0.2">
      <c r="A20" t="s">
        <v>8</v>
      </c>
      <c r="B20">
        <v>1</v>
      </c>
      <c r="C20" t="s">
        <v>87</v>
      </c>
      <c r="D20" t="s">
        <v>82</v>
      </c>
      <c r="E20">
        <v>1</v>
      </c>
      <c r="F20">
        <v>1</v>
      </c>
      <c r="G20" s="1">
        <v>0.30694444444444441</v>
      </c>
      <c r="H20" s="1">
        <v>0.30833333333333335</v>
      </c>
      <c r="I20" s="1">
        <v>0.30902777777777779</v>
      </c>
      <c r="J20" s="1">
        <v>0.31111111111111112</v>
      </c>
      <c r="K20" s="1">
        <v>0.3125</v>
      </c>
      <c r="L20" s="1">
        <v>0.31388888888888888</v>
      </c>
      <c r="M20" s="1">
        <v>0.31527777777777777</v>
      </c>
      <c r="N20" s="1">
        <v>0.31805555555555554</v>
      </c>
      <c r="O20" s="1">
        <v>0.31944444444444448</v>
      </c>
      <c r="P20" s="1">
        <v>0.32291666666666669</v>
      </c>
      <c r="Q20" s="1">
        <v>0.32430555555555557</v>
      </c>
      <c r="R20" s="1">
        <v>0.32500000000000001</v>
      </c>
      <c r="S20" s="1">
        <v>0.32569444444444445</v>
      </c>
      <c r="T20" s="5"/>
    </row>
    <row r="21" spans="1:20" x14ac:dyDescent="0.2">
      <c r="A21" t="s">
        <v>8</v>
      </c>
      <c r="B21">
        <v>1</v>
      </c>
      <c r="C21" t="s">
        <v>87</v>
      </c>
      <c r="D21" t="s">
        <v>82</v>
      </c>
      <c r="E21">
        <v>1</v>
      </c>
      <c r="F21">
        <v>1</v>
      </c>
      <c r="G21" s="1">
        <v>0.31111111111111112</v>
      </c>
      <c r="H21" s="1">
        <v>0.3125</v>
      </c>
      <c r="I21" s="1">
        <v>0.31319444444444444</v>
      </c>
      <c r="J21" s="1">
        <v>0.31527777777777777</v>
      </c>
      <c r="K21" s="1">
        <v>0.31666666666666665</v>
      </c>
      <c r="L21" s="1">
        <v>0.31805555555555554</v>
      </c>
      <c r="M21" s="1">
        <v>0.31944444444444448</v>
      </c>
      <c r="N21" s="1">
        <v>0.32222222222222224</v>
      </c>
      <c r="O21" s="1">
        <v>0.32361111111111113</v>
      </c>
      <c r="P21" s="1">
        <v>0.32708333333333334</v>
      </c>
      <c r="Q21" s="1">
        <v>0.32847222222222222</v>
      </c>
      <c r="R21" s="1">
        <v>0.32916666666666666</v>
      </c>
      <c r="S21" s="1">
        <v>0.3298611111111111</v>
      </c>
      <c r="T21" s="5"/>
    </row>
    <row r="22" spans="1:20" x14ac:dyDescent="0.2">
      <c r="A22" t="s">
        <v>8</v>
      </c>
      <c r="B22">
        <v>1</v>
      </c>
      <c r="C22" t="s">
        <v>87</v>
      </c>
      <c r="D22" t="s">
        <v>82</v>
      </c>
      <c r="E22">
        <v>1</v>
      </c>
      <c r="F22">
        <v>1</v>
      </c>
      <c r="G22" s="1">
        <v>0.31666666666666665</v>
      </c>
      <c r="H22" s="1">
        <v>0.31805555555555554</v>
      </c>
      <c r="I22" s="1">
        <v>0.31875000000000003</v>
      </c>
      <c r="J22" s="1">
        <v>0.32083333333333336</v>
      </c>
      <c r="K22" s="1">
        <v>0.32222222222222224</v>
      </c>
      <c r="L22" s="1">
        <v>0.32361111111111113</v>
      </c>
      <c r="M22" s="1">
        <v>0.32500000000000001</v>
      </c>
      <c r="N22" s="1">
        <v>0.32777777777777778</v>
      </c>
      <c r="O22" s="1">
        <v>0.32916666666666666</v>
      </c>
      <c r="P22" s="1">
        <v>0.33263888888888887</v>
      </c>
      <c r="Q22" s="1">
        <v>0.33402777777777781</v>
      </c>
      <c r="R22" s="1">
        <v>0.3347222222222222</v>
      </c>
      <c r="S22" s="1">
        <v>0.3354166666666667</v>
      </c>
      <c r="T22" s="5"/>
    </row>
    <row r="23" spans="1:20" x14ac:dyDescent="0.2">
      <c r="A23" t="s">
        <v>8</v>
      </c>
      <c r="B23">
        <v>1</v>
      </c>
      <c r="C23" t="s">
        <v>87</v>
      </c>
      <c r="D23" t="s">
        <v>82</v>
      </c>
      <c r="E23">
        <v>1</v>
      </c>
      <c r="F23">
        <v>1</v>
      </c>
      <c r="G23" s="1">
        <v>0.32083333333333336</v>
      </c>
      <c r="H23" s="1">
        <v>0.32222222222222224</v>
      </c>
      <c r="I23" s="1">
        <v>0.32291666666666669</v>
      </c>
      <c r="J23" s="1">
        <v>0.32500000000000001</v>
      </c>
      <c r="K23" s="1">
        <v>0.3263888888888889</v>
      </c>
      <c r="L23" s="1">
        <v>0.32777777777777778</v>
      </c>
      <c r="M23" s="1">
        <v>0.32916666666666666</v>
      </c>
      <c r="N23" s="1">
        <v>0.33194444444444443</v>
      </c>
      <c r="O23" s="1">
        <v>0.33333333333333331</v>
      </c>
      <c r="P23" s="1">
        <v>0.33680555555555558</v>
      </c>
      <c r="Q23" s="1">
        <v>0.33819444444444446</v>
      </c>
      <c r="R23" s="1">
        <v>0.33888888888888885</v>
      </c>
      <c r="S23" s="1">
        <v>0.33958333333333335</v>
      </c>
      <c r="T23" s="5"/>
    </row>
    <row r="24" spans="1:20" x14ac:dyDescent="0.2">
      <c r="A24" t="s">
        <v>8</v>
      </c>
      <c r="B24">
        <v>1</v>
      </c>
      <c r="C24" t="s">
        <v>87</v>
      </c>
      <c r="D24" t="s">
        <v>82</v>
      </c>
      <c r="E24">
        <v>1</v>
      </c>
      <c r="F24">
        <v>1</v>
      </c>
      <c r="G24" s="1">
        <v>0.32500000000000001</v>
      </c>
      <c r="H24" s="1">
        <v>0.3263888888888889</v>
      </c>
      <c r="I24" s="1">
        <v>0.32708333333333334</v>
      </c>
      <c r="J24" s="1">
        <v>0.32916666666666666</v>
      </c>
      <c r="K24" s="1">
        <v>0.33055555555555555</v>
      </c>
      <c r="L24" s="1">
        <v>0.33194444444444443</v>
      </c>
      <c r="M24" s="1">
        <v>0.33333333333333331</v>
      </c>
      <c r="N24" s="1">
        <v>0.33611111111111108</v>
      </c>
      <c r="O24" s="1">
        <v>0.33749999999999997</v>
      </c>
      <c r="P24" s="1">
        <v>0.34097222222222223</v>
      </c>
      <c r="Q24" s="1">
        <v>0.34236111111111112</v>
      </c>
      <c r="R24" s="1">
        <v>0.3430555555555555</v>
      </c>
      <c r="S24" s="1">
        <v>0.34375</v>
      </c>
      <c r="T24" s="5"/>
    </row>
    <row r="25" spans="1:20" x14ac:dyDescent="0.2">
      <c r="A25" t="s">
        <v>8</v>
      </c>
      <c r="B25">
        <v>1</v>
      </c>
      <c r="C25" t="s">
        <v>87</v>
      </c>
      <c r="D25" t="s">
        <v>82</v>
      </c>
      <c r="E25">
        <v>1</v>
      </c>
      <c r="F25">
        <v>1</v>
      </c>
      <c r="G25" s="1">
        <v>0.33055555555555555</v>
      </c>
      <c r="H25" s="1">
        <v>0.33194444444444443</v>
      </c>
      <c r="I25" s="1">
        <v>0.33263888888888887</v>
      </c>
      <c r="J25" s="1">
        <v>0.3347222222222222</v>
      </c>
      <c r="K25" s="1">
        <v>0.33611111111111108</v>
      </c>
      <c r="L25" s="1">
        <v>0.33749999999999997</v>
      </c>
      <c r="M25" s="1">
        <v>0.33888888888888885</v>
      </c>
      <c r="N25" s="1">
        <v>0.34166666666666662</v>
      </c>
      <c r="O25" s="1">
        <v>0.3430555555555555</v>
      </c>
      <c r="P25" s="1">
        <v>0.34652777777777777</v>
      </c>
      <c r="Q25" s="1">
        <v>0.34791666666666665</v>
      </c>
      <c r="R25" s="1">
        <v>0.34861111111111115</v>
      </c>
      <c r="S25" s="1">
        <v>0.34930555555555554</v>
      </c>
      <c r="T25" s="5"/>
    </row>
    <row r="26" spans="1:20" x14ac:dyDescent="0.2">
      <c r="A26" t="s">
        <v>8</v>
      </c>
      <c r="B26">
        <v>1</v>
      </c>
      <c r="C26" t="s">
        <v>87</v>
      </c>
      <c r="D26" t="s">
        <v>82</v>
      </c>
      <c r="E26">
        <v>1</v>
      </c>
      <c r="F26">
        <v>1</v>
      </c>
      <c r="G26" s="1">
        <v>0.3347222222222222</v>
      </c>
      <c r="H26" s="1">
        <v>0.33611111111111108</v>
      </c>
      <c r="I26" s="1">
        <v>0.33680555555555558</v>
      </c>
      <c r="J26" s="1">
        <v>0.33888888888888885</v>
      </c>
      <c r="K26" s="1">
        <v>0.34027777777777773</v>
      </c>
      <c r="L26" s="1">
        <v>0.34166666666666662</v>
      </c>
      <c r="M26" s="1">
        <v>0.3430555555555555</v>
      </c>
      <c r="N26" s="1">
        <v>0.34583333333333338</v>
      </c>
      <c r="O26" s="1">
        <v>0.34722222222222227</v>
      </c>
      <c r="P26" s="1">
        <v>0.35069444444444442</v>
      </c>
      <c r="Q26" s="1">
        <v>0.3520833333333333</v>
      </c>
      <c r="R26" s="1">
        <v>0.3527777777777778</v>
      </c>
      <c r="S26" s="1">
        <v>0.35347222222222219</v>
      </c>
      <c r="T26" s="5"/>
    </row>
    <row r="27" spans="1:20" x14ac:dyDescent="0.2">
      <c r="A27" t="s">
        <v>8</v>
      </c>
      <c r="B27">
        <v>1</v>
      </c>
      <c r="C27" t="s">
        <v>87</v>
      </c>
      <c r="D27" t="s">
        <v>82</v>
      </c>
      <c r="E27">
        <v>1</v>
      </c>
      <c r="F27">
        <v>1</v>
      </c>
      <c r="G27" s="1">
        <v>0.34027777777777773</v>
      </c>
      <c r="H27" s="1">
        <v>0.34166666666666662</v>
      </c>
      <c r="I27" s="1">
        <v>0.34236111111111112</v>
      </c>
      <c r="J27" s="1">
        <v>0.3444444444444445</v>
      </c>
      <c r="K27" s="1">
        <v>0.34583333333333338</v>
      </c>
      <c r="L27" s="1">
        <v>0.34722222222222227</v>
      </c>
      <c r="M27" s="1">
        <v>0.34861111111111115</v>
      </c>
      <c r="N27" s="1">
        <v>0.35138888888888892</v>
      </c>
      <c r="O27" s="1">
        <v>0.3527777777777778</v>
      </c>
      <c r="P27" s="1">
        <v>0.35625000000000001</v>
      </c>
      <c r="Q27" s="1">
        <v>0.3576388888888889</v>
      </c>
      <c r="R27" s="1">
        <v>0.35833333333333334</v>
      </c>
      <c r="S27" s="1">
        <v>0.35902777777777778</v>
      </c>
      <c r="T27" s="5"/>
    </row>
    <row r="28" spans="1:20" x14ac:dyDescent="0.2">
      <c r="A28" t="s">
        <v>8</v>
      </c>
      <c r="B28">
        <v>1</v>
      </c>
      <c r="C28" t="s">
        <v>87</v>
      </c>
      <c r="D28" t="s">
        <v>82</v>
      </c>
      <c r="E28">
        <v>1</v>
      </c>
      <c r="F28">
        <v>1</v>
      </c>
      <c r="G28" s="1">
        <v>0.34375</v>
      </c>
      <c r="H28" s="1">
        <v>0.34513888888888888</v>
      </c>
      <c r="I28" s="1">
        <v>0.34583333333333338</v>
      </c>
      <c r="J28" s="1">
        <v>0.34791666666666665</v>
      </c>
      <c r="K28" s="1">
        <v>0.34930555555555554</v>
      </c>
      <c r="L28" s="1">
        <v>0.35069444444444442</v>
      </c>
      <c r="M28" s="1">
        <v>0.3520833333333333</v>
      </c>
      <c r="N28" s="1">
        <v>0.35486111111111113</v>
      </c>
      <c r="O28" s="1">
        <v>0.35625000000000001</v>
      </c>
      <c r="P28" s="1">
        <v>0.35972222222222222</v>
      </c>
      <c r="Q28" s="1">
        <v>0.3611111111111111</v>
      </c>
      <c r="R28" s="1">
        <v>0.36180555555555555</v>
      </c>
      <c r="S28" s="1">
        <v>0.36249999999999999</v>
      </c>
      <c r="T28" s="5"/>
    </row>
    <row r="29" spans="1:20" x14ac:dyDescent="0.2">
      <c r="A29" t="s">
        <v>8</v>
      </c>
      <c r="B29">
        <v>1</v>
      </c>
      <c r="C29" t="s">
        <v>87</v>
      </c>
      <c r="D29" t="s">
        <v>82</v>
      </c>
      <c r="E29">
        <v>1</v>
      </c>
      <c r="F29">
        <v>1</v>
      </c>
      <c r="G29" s="1">
        <v>0.34722222222222227</v>
      </c>
      <c r="H29" s="1">
        <v>0.34861111111111115</v>
      </c>
      <c r="I29" s="1">
        <v>0.34930555555555554</v>
      </c>
      <c r="J29" s="1">
        <v>0.35138888888888892</v>
      </c>
      <c r="K29" s="1">
        <v>0.3527777777777778</v>
      </c>
      <c r="L29" s="1">
        <v>0.35416666666666669</v>
      </c>
      <c r="M29" s="1">
        <v>0.35555555555555557</v>
      </c>
      <c r="N29" s="1">
        <v>0.35833333333333334</v>
      </c>
      <c r="O29" s="1">
        <v>0.35972222222222222</v>
      </c>
      <c r="P29" s="1">
        <v>0.36319444444444443</v>
      </c>
      <c r="Q29" s="1">
        <v>0.36458333333333331</v>
      </c>
      <c r="R29" s="1">
        <v>0.36527777777777781</v>
      </c>
      <c r="S29" s="1">
        <v>0.3659722222222222</v>
      </c>
      <c r="T29" s="5"/>
    </row>
    <row r="30" spans="1:20" x14ac:dyDescent="0.2">
      <c r="A30" t="s">
        <v>8</v>
      </c>
      <c r="B30">
        <v>1</v>
      </c>
      <c r="C30" t="s">
        <v>87</v>
      </c>
      <c r="D30" t="s">
        <v>82</v>
      </c>
      <c r="E30">
        <v>1</v>
      </c>
      <c r="F30">
        <v>1</v>
      </c>
      <c r="G30" s="1">
        <v>0.3520833333333333</v>
      </c>
      <c r="H30" s="1">
        <v>0.35347222222222219</v>
      </c>
      <c r="I30" s="1">
        <v>0.35416666666666669</v>
      </c>
      <c r="J30" s="1">
        <v>0.35625000000000001</v>
      </c>
      <c r="K30" s="1">
        <v>0.3576388888888889</v>
      </c>
      <c r="L30" s="1">
        <v>0.35902777777777778</v>
      </c>
      <c r="M30" s="1">
        <v>0.36041666666666666</v>
      </c>
      <c r="N30" s="1">
        <v>0.36319444444444443</v>
      </c>
      <c r="O30" s="1">
        <v>0.36458333333333331</v>
      </c>
      <c r="P30" s="1">
        <v>0.36805555555555558</v>
      </c>
      <c r="Q30" s="1">
        <v>0.36944444444444446</v>
      </c>
      <c r="R30" s="1">
        <v>0.37013888888888885</v>
      </c>
      <c r="S30" s="1">
        <v>0.37083333333333335</v>
      </c>
      <c r="T30" s="5"/>
    </row>
    <row r="31" spans="1:20" x14ac:dyDescent="0.2">
      <c r="A31" t="s">
        <v>8</v>
      </c>
      <c r="B31">
        <v>1</v>
      </c>
      <c r="C31" t="s">
        <v>87</v>
      </c>
      <c r="D31" t="s">
        <v>82</v>
      </c>
      <c r="E31">
        <v>1</v>
      </c>
      <c r="F31">
        <v>1</v>
      </c>
      <c r="G31" s="1">
        <v>0.35694444444444445</v>
      </c>
      <c r="H31" s="1">
        <v>0.35833333333333334</v>
      </c>
      <c r="I31" s="1">
        <v>0.35902777777777778</v>
      </c>
      <c r="J31" s="1">
        <v>0.3611111111111111</v>
      </c>
      <c r="K31" s="1">
        <v>0.36249999999999999</v>
      </c>
      <c r="L31" s="1">
        <v>0.36388888888888887</v>
      </c>
      <c r="M31" s="1">
        <v>0.36527777777777781</v>
      </c>
      <c r="N31" s="1">
        <v>0.36805555555555558</v>
      </c>
      <c r="O31" s="1">
        <v>0.36944444444444446</v>
      </c>
      <c r="P31" s="1">
        <v>0.37291666666666662</v>
      </c>
      <c r="Q31" s="1">
        <v>0.3743055555555555</v>
      </c>
      <c r="R31" s="1">
        <v>0.375</v>
      </c>
      <c r="S31" s="1">
        <v>0.3756944444444445</v>
      </c>
      <c r="T31" s="5"/>
    </row>
    <row r="32" spans="1:20" x14ac:dyDescent="0.2">
      <c r="A32" t="s">
        <v>8</v>
      </c>
      <c r="B32">
        <v>1</v>
      </c>
      <c r="C32" t="s">
        <v>87</v>
      </c>
      <c r="D32" t="s">
        <v>82</v>
      </c>
      <c r="E32">
        <v>1</v>
      </c>
      <c r="F32">
        <v>1</v>
      </c>
      <c r="G32" s="1">
        <v>0.36180555555555555</v>
      </c>
      <c r="H32" s="1">
        <v>0.36319444444444443</v>
      </c>
      <c r="I32" s="1">
        <v>0.36388888888888887</v>
      </c>
      <c r="J32" s="1">
        <v>0.3659722222222222</v>
      </c>
      <c r="K32" s="1">
        <v>0.36736111111111108</v>
      </c>
      <c r="L32" s="1">
        <v>0.36874999999999997</v>
      </c>
      <c r="M32" s="1">
        <v>0.37013888888888885</v>
      </c>
      <c r="N32" s="1">
        <v>0.37291666666666662</v>
      </c>
      <c r="O32" s="1">
        <v>0.3743055555555555</v>
      </c>
      <c r="P32" s="1">
        <v>0.37777777777777777</v>
      </c>
      <c r="Q32" s="1">
        <v>0.37916666666666665</v>
      </c>
      <c r="R32" s="1">
        <v>0.37986111111111115</v>
      </c>
      <c r="S32" s="1">
        <v>0.38055555555555554</v>
      </c>
      <c r="T32" s="5"/>
    </row>
    <row r="33" spans="1:21" x14ac:dyDescent="0.2">
      <c r="A33" t="s">
        <v>8</v>
      </c>
      <c r="B33">
        <v>1</v>
      </c>
      <c r="C33" t="s">
        <v>87</v>
      </c>
      <c r="D33" t="s">
        <v>82</v>
      </c>
      <c r="E33">
        <v>1</v>
      </c>
      <c r="F33">
        <v>1</v>
      </c>
      <c r="G33" s="1">
        <v>0.3659722222222222</v>
      </c>
      <c r="H33" s="1">
        <v>0.36736111111111108</v>
      </c>
      <c r="I33" s="1">
        <v>0.36805555555555558</v>
      </c>
      <c r="J33" s="1">
        <v>0.37013888888888885</v>
      </c>
      <c r="K33" s="1">
        <v>0.37152777777777773</v>
      </c>
      <c r="L33" s="1">
        <v>0.37291666666666662</v>
      </c>
      <c r="M33" s="1">
        <v>0.3743055555555555</v>
      </c>
      <c r="N33" s="1">
        <v>0.37708333333333338</v>
      </c>
      <c r="O33" s="1">
        <v>0.37847222222222227</v>
      </c>
      <c r="P33" s="1">
        <v>0.38194444444444442</v>
      </c>
      <c r="Q33" s="1">
        <v>0.3833333333333333</v>
      </c>
      <c r="R33" s="1">
        <v>0.3840277777777778</v>
      </c>
      <c r="S33" s="1">
        <v>0.38472222222222219</v>
      </c>
      <c r="T33" s="5"/>
    </row>
    <row r="34" spans="1:21" x14ac:dyDescent="0.2">
      <c r="A34" t="s">
        <v>8</v>
      </c>
      <c r="B34">
        <v>1</v>
      </c>
      <c r="C34" t="s">
        <v>87</v>
      </c>
      <c r="D34" t="s">
        <v>82</v>
      </c>
      <c r="E34">
        <v>1</v>
      </c>
      <c r="F34">
        <v>1</v>
      </c>
      <c r="G34" s="1">
        <v>0.37152777777777773</v>
      </c>
      <c r="H34" s="1">
        <v>0.37291666666666662</v>
      </c>
      <c r="I34" s="1">
        <v>0.37361111111111112</v>
      </c>
      <c r="J34" s="1">
        <v>0.3756944444444445</v>
      </c>
      <c r="K34" s="1">
        <v>0.37708333333333338</v>
      </c>
      <c r="L34" s="1">
        <v>0.37847222222222227</v>
      </c>
      <c r="M34" s="1">
        <v>0.37986111111111115</v>
      </c>
      <c r="N34" s="1">
        <v>0.38263888888888892</v>
      </c>
      <c r="O34" s="1">
        <v>0.3840277777777778</v>
      </c>
      <c r="P34" s="1">
        <v>0.38750000000000001</v>
      </c>
      <c r="Q34" s="1">
        <v>0.3888888888888889</v>
      </c>
      <c r="R34" s="1">
        <v>0.38958333333333334</v>
      </c>
      <c r="S34" s="1">
        <v>0.39027777777777778</v>
      </c>
      <c r="T34" s="5"/>
    </row>
    <row r="35" spans="1:21" x14ac:dyDescent="0.2">
      <c r="A35" t="s">
        <v>8</v>
      </c>
      <c r="B35">
        <v>1</v>
      </c>
      <c r="C35" t="s">
        <v>87</v>
      </c>
      <c r="D35" t="s">
        <v>82</v>
      </c>
      <c r="E35">
        <v>1</v>
      </c>
      <c r="F35">
        <v>1</v>
      </c>
      <c r="G35" s="1">
        <v>0.37847222222222227</v>
      </c>
      <c r="H35" s="1">
        <v>0.37986111111111115</v>
      </c>
      <c r="I35" s="1">
        <v>0.38055555555555554</v>
      </c>
      <c r="J35" s="1">
        <v>0.38263888888888892</v>
      </c>
      <c r="K35" s="1">
        <v>0.3840277777777778</v>
      </c>
      <c r="L35" s="1">
        <v>0.38541666666666669</v>
      </c>
      <c r="M35" s="1">
        <v>0.38680555555555557</v>
      </c>
      <c r="N35" s="1">
        <v>0.38958333333333334</v>
      </c>
      <c r="O35" s="1">
        <v>0.39097222222222222</v>
      </c>
      <c r="P35" s="1">
        <v>0.39444444444444443</v>
      </c>
      <c r="Q35" s="1">
        <v>0.39583333333333331</v>
      </c>
      <c r="R35" s="1">
        <v>0.39652777777777781</v>
      </c>
      <c r="S35" s="1">
        <v>0.3972222222222222</v>
      </c>
      <c r="T35" s="5"/>
    </row>
    <row r="36" spans="1:21" x14ac:dyDescent="0.2">
      <c r="A36" t="s">
        <v>8</v>
      </c>
      <c r="B36">
        <v>1</v>
      </c>
      <c r="C36" t="s">
        <v>87</v>
      </c>
      <c r="D36" t="s">
        <v>82</v>
      </c>
      <c r="E36">
        <v>1</v>
      </c>
      <c r="F36">
        <v>1</v>
      </c>
      <c r="G36" s="1">
        <v>0.38541666666666669</v>
      </c>
      <c r="H36" s="1">
        <v>0.38680555555555557</v>
      </c>
      <c r="I36" s="1">
        <v>0.38750000000000001</v>
      </c>
      <c r="J36" s="1">
        <v>0.38958333333333334</v>
      </c>
      <c r="K36" s="1">
        <v>0.39097222222222222</v>
      </c>
      <c r="L36" s="1">
        <v>0.3923611111111111</v>
      </c>
      <c r="M36" s="1">
        <v>0.39374999999999999</v>
      </c>
      <c r="N36" s="1">
        <v>0.39652777777777781</v>
      </c>
      <c r="O36" s="1">
        <v>0.3979166666666667</v>
      </c>
      <c r="P36" s="1">
        <v>0.40138888888888885</v>
      </c>
      <c r="Q36" s="1">
        <v>0.40277777777777773</v>
      </c>
      <c r="R36" s="1">
        <v>0.40347222222222223</v>
      </c>
      <c r="S36" s="1">
        <v>0.40416666666666662</v>
      </c>
      <c r="T36" s="5">
        <f>TIME(0,15,0)</f>
        <v>1.0416666666666666E-2</v>
      </c>
      <c r="U36" s="3">
        <v>0.58333333333333337</v>
      </c>
    </row>
    <row r="37" spans="1:21" x14ac:dyDescent="0.2">
      <c r="A37" t="s">
        <v>8</v>
      </c>
      <c r="B37">
        <v>1</v>
      </c>
      <c r="C37" t="s">
        <v>87</v>
      </c>
      <c r="D37" t="s">
        <v>82</v>
      </c>
      <c r="E37">
        <v>1</v>
      </c>
      <c r="F37">
        <v>1</v>
      </c>
      <c r="G37" s="1">
        <v>0.59166666666666667</v>
      </c>
      <c r="H37" s="1">
        <v>0.59305555555555556</v>
      </c>
      <c r="I37" s="1">
        <v>0.59375</v>
      </c>
      <c r="J37" s="1">
        <v>0.59583333333333333</v>
      </c>
      <c r="K37" s="1">
        <v>0.59722222222222221</v>
      </c>
      <c r="L37" s="1">
        <v>0.59861111111111109</v>
      </c>
      <c r="M37" s="1">
        <v>0.6</v>
      </c>
      <c r="N37" s="1">
        <v>0.60277777777777775</v>
      </c>
      <c r="O37" s="1">
        <v>0.60416666666666663</v>
      </c>
      <c r="P37" s="1">
        <v>0.60763888888888895</v>
      </c>
      <c r="Q37" s="1">
        <v>0.60902777777777783</v>
      </c>
      <c r="R37" s="1">
        <v>0.60972222222222217</v>
      </c>
      <c r="S37" s="1">
        <v>0.61041666666666672</v>
      </c>
      <c r="T37" s="5"/>
    </row>
    <row r="38" spans="1:21" x14ac:dyDescent="0.2">
      <c r="A38" t="s">
        <v>8</v>
      </c>
      <c r="B38">
        <v>1</v>
      </c>
      <c r="C38" t="s">
        <v>87</v>
      </c>
      <c r="D38" t="s">
        <v>82</v>
      </c>
      <c r="E38">
        <v>1</v>
      </c>
      <c r="F38">
        <v>1</v>
      </c>
      <c r="G38" s="1">
        <v>0.6</v>
      </c>
      <c r="H38" s="1">
        <v>0.60138888888888886</v>
      </c>
      <c r="I38" s="1">
        <v>0.6020833333333333</v>
      </c>
      <c r="J38" s="1">
        <v>0.60416666666666663</v>
      </c>
      <c r="K38" s="1">
        <v>0.60555555555555551</v>
      </c>
      <c r="L38" s="1">
        <v>0.6069444444444444</v>
      </c>
      <c r="M38" s="1">
        <v>0.60833333333333328</v>
      </c>
      <c r="N38" s="1">
        <v>0.61111111111111105</v>
      </c>
      <c r="O38" s="1">
        <v>0.61249999999999993</v>
      </c>
      <c r="P38" s="1">
        <v>0.61597222222222225</v>
      </c>
      <c r="Q38" s="1">
        <v>0.61736111111111114</v>
      </c>
      <c r="R38" s="1">
        <v>0.61805555555555558</v>
      </c>
      <c r="S38" s="1">
        <v>0.61875000000000002</v>
      </c>
      <c r="T38" s="5"/>
    </row>
    <row r="39" spans="1:21" x14ac:dyDescent="0.2">
      <c r="A39" t="s">
        <v>8</v>
      </c>
      <c r="B39">
        <v>1</v>
      </c>
      <c r="C39" t="s">
        <v>87</v>
      </c>
      <c r="D39" t="s">
        <v>82</v>
      </c>
      <c r="E39">
        <v>1</v>
      </c>
      <c r="F39">
        <v>1</v>
      </c>
      <c r="G39" s="1">
        <v>0.60833333333333328</v>
      </c>
      <c r="H39" s="1">
        <v>0.60972222222222217</v>
      </c>
      <c r="I39" s="1">
        <v>0.61041666666666672</v>
      </c>
      <c r="J39" s="1">
        <v>0.61249999999999993</v>
      </c>
      <c r="K39" s="1">
        <v>0.61388888888888882</v>
      </c>
      <c r="L39" s="1">
        <v>0.61527777777777781</v>
      </c>
      <c r="M39" s="1">
        <v>0.6166666666666667</v>
      </c>
      <c r="N39" s="1">
        <v>0.61944444444444446</v>
      </c>
      <c r="O39" s="1">
        <v>0.62083333333333335</v>
      </c>
      <c r="P39" s="1">
        <v>0.62430555555555556</v>
      </c>
      <c r="Q39" s="1">
        <v>0.62569444444444444</v>
      </c>
      <c r="R39" s="1">
        <v>0.62638888888888888</v>
      </c>
      <c r="S39" s="1">
        <v>0.62708333333333333</v>
      </c>
      <c r="T39" s="5"/>
    </row>
    <row r="40" spans="1:21" x14ac:dyDescent="0.2">
      <c r="A40" t="s">
        <v>8</v>
      </c>
      <c r="B40">
        <v>1</v>
      </c>
      <c r="C40" t="s">
        <v>87</v>
      </c>
      <c r="D40" t="s">
        <v>82</v>
      </c>
      <c r="E40">
        <v>1</v>
      </c>
      <c r="F40">
        <v>1</v>
      </c>
      <c r="G40" s="1">
        <v>0.6166666666666667</v>
      </c>
      <c r="H40" s="1">
        <v>0.61805555555555558</v>
      </c>
      <c r="I40" s="1">
        <v>0.61875000000000002</v>
      </c>
      <c r="J40" s="1">
        <v>0.62083333333333335</v>
      </c>
      <c r="K40" s="1">
        <v>0.62222222222222223</v>
      </c>
      <c r="L40" s="1">
        <v>0.62361111111111112</v>
      </c>
      <c r="M40" s="1">
        <v>0.625</v>
      </c>
      <c r="N40" s="1">
        <v>0.62777777777777777</v>
      </c>
      <c r="O40" s="1">
        <v>0.62916666666666665</v>
      </c>
      <c r="P40" s="1">
        <v>0.63263888888888886</v>
      </c>
      <c r="Q40" s="1">
        <v>0.63402777777777775</v>
      </c>
      <c r="R40" s="1">
        <v>0.63472222222222219</v>
      </c>
      <c r="S40" s="1">
        <v>0.63541666666666663</v>
      </c>
      <c r="T40" s="5"/>
    </row>
    <row r="41" spans="1:21" x14ac:dyDescent="0.2">
      <c r="A41" t="s">
        <v>8</v>
      </c>
      <c r="B41">
        <v>1</v>
      </c>
      <c r="C41" t="s">
        <v>87</v>
      </c>
      <c r="D41" t="s">
        <v>82</v>
      </c>
      <c r="E41">
        <v>1</v>
      </c>
      <c r="F41">
        <v>1</v>
      </c>
      <c r="G41" s="1">
        <v>0.625</v>
      </c>
      <c r="H41" s="1">
        <v>0.62638888888888888</v>
      </c>
      <c r="I41" s="1">
        <v>0.62708333333333333</v>
      </c>
      <c r="J41" s="1">
        <v>0.62916666666666665</v>
      </c>
      <c r="K41" s="1">
        <v>0.63055555555555554</v>
      </c>
      <c r="L41" s="1">
        <v>0.63194444444444442</v>
      </c>
      <c r="M41" s="1">
        <v>0.6333333333333333</v>
      </c>
      <c r="N41" s="1">
        <v>0.63611111111111118</v>
      </c>
      <c r="O41" s="1">
        <v>0.63750000000000007</v>
      </c>
      <c r="P41" s="1">
        <v>0.64097222222222217</v>
      </c>
      <c r="Q41" s="1">
        <v>0.64236111111111105</v>
      </c>
      <c r="R41" s="1">
        <v>0.6430555555555556</v>
      </c>
      <c r="S41" s="1">
        <v>0.64374999999999993</v>
      </c>
      <c r="T41" s="5"/>
    </row>
    <row r="42" spans="1:21" x14ac:dyDescent="0.2">
      <c r="A42" t="s">
        <v>8</v>
      </c>
      <c r="B42">
        <v>1</v>
      </c>
      <c r="C42" t="s">
        <v>87</v>
      </c>
      <c r="D42" t="s">
        <v>82</v>
      </c>
      <c r="E42">
        <v>1</v>
      </c>
      <c r="F42">
        <v>1</v>
      </c>
      <c r="G42" s="1">
        <v>0.63194444444444442</v>
      </c>
      <c r="H42" s="1">
        <v>0.6333333333333333</v>
      </c>
      <c r="I42" s="1">
        <v>0.63402777777777775</v>
      </c>
      <c r="J42" s="1">
        <v>0.63611111111111118</v>
      </c>
      <c r="K42" s="1">
        <v>0.63750000000000007</v>
      </c>
      <c r="L42" s="1">
        <v>0.63888888888888895</v>
      </c>
      <c r="M42" s="1">
        <v>0.64027777777777783</v>
      </c>
      <c r="N42" s="1">
        <v>0.6430555555555556</v>
      </c>
      <c r="O42" s="1">
        <v>0.64444444444444449</v>
      </c>
      <c r="P42" s="1">
        <v>0.6479166666666667</v>
      </c>
      <c r="Q42" s="1">
        <v>0.64930555555555558</v>
      </c>
      <c r="R42" s="1">
        <v>0.65</v>
      </c>
      <c r="S42" s="1">
        <v>0.65069444444444446</v>
      </c>
      <c r="T42" s="5"/>
    </row>
    <row r="43" spans="1:21" x14ac:dyDescent="0.2">
      <c r="A43" t="s">
        <v>8</v>
      </c>
      <c r="B43">
        <v>1</v>
      </c>
      <c r="C43" t="s">
        <v>87</v>
      </c>
      <c r="D43" t="s">
        <v>82</v>
      </c>
      <c r="E43">
        <v>1</v>
      </c>
      <c r="F43">
        <v>1</v>
      </c>
      <c r="G43" s="1">
        <v>0.63888888888888895</v>
      </c>
      <c r="H43" s="1">
        <v>0.64027777777777783</v>
      </c>
      <c r="I43" s="1">
        <v>0.64097222222222217</v>
      </c>
      <c r="J43" s="1">
        <v>0.6430555555555556</v>
      </c>
      <c r="K43" s="1">
        <v>0.64444444444444449</v>
      </c>
      <c r="L43" s="1">
        <v>0.64583333333333337</v>
      </c>
      <c r="M43" s="1">
        <v>0.64722222222222225</v>
      </c>
      <c r="N43" s="1">
        <v>0.65</v>
      </c>
      <c r="O43" s="1">
        <v>0.65138888888888891</v>
      </c>
      <c r="P43" s="1">
        <v>0.65486111111111112</v>
      </c>
      <c r="Q43" s="1">
        <v>0.65625</v>
      </c>
      <c r="R43" s="1">
        <v>0.65694444444444444</v>
      </c>
      <c r="S43" s="1">
        <v>0.65763888888888888</v>
      </c>
      <c r="T43" s="5"/>
    </row>
    <row r="44" spans="1:21" x14ac:dyDescent="0.2">
      <c r="A44" t="s">
        <v>8</v>
      </c>
      <c r="B44">
        <v>1</v>
      </c>
      <c r="C44" t="s">
        <v>87</v>
      </c>
      <c r="D44" t="s">
        <v>82</v>
      </c>
      <c r="E44">
        <v>1</v>
      </c>
      <c r="F44">
        <v>1</v>
      </c>
      <c r="G44" s="1">
        <v>0.64583333333333337</v>
      </c>
      <c r="H44" s="1">
        <v>0.64722222222222225</v>
      </c>
      <c r="I44" s="1">
        <v>0.6479166666666667</v>
      </c>
      <c r="J44" s="1">
        <v>0.65</v>
      </c>
      <c r="K44" s="1">
        <v>0.65138888888888891</v>
      </c>
      <c r="L44" s="1">
        <v>0.65277777777777779</v>
      </c>
      <c r="M44" s="1">
        <v>0.65416666666666667</v>
      </c>
      <c r="N44" s="1">
        <v>0.65694444444444444</v>
      </c>
      <c r="O44" s="1">
        <v>0.65833333333333333</v>
      </c>
      <c r="P44" s="1">
        <v>0.66180555555555554</v>
      </c>
      <c r="Q44" s="1">
        <v>0.66319444444444442</v>
      </c>
      <c r="R44" s="1">
        <v>0.66388888888888886</v>
      </c>
      <c r="S44" s="1">
        <v>0.6645833333333333</v>
      </c>
      <c r="T44" s="5"/>
    </row>
    <row r="45" spans="1:21" x14ac:dyDescent="0.2">
      <c r="A45" t="s">
        <v>8</v>
      </c>
      <c r="B45">
        <v>1</v>
      </c>
      <c r="C45" t="s">
        <v>87</v>
      </c>
      <c r="D45" t="s">
        <v>82</v>
      </c>
      <c r="E45">
        <v>1</v>
      </c>
      <c r="F45">
        <v>1</v>
      </c>
      <c r="G45" s="1">
        <v>0.65208333333333335</v>
      </c>
      <c r="H45" s="1">
        <v>0.65347222222222223</v>
      </c>
      <c r="I45" s="1">
        <v>0.65416666666666667</v>
      </c>
      <c r="J45" s="1">
        <v>0.65625</v>
      </c>
      <c r="K45" s="1">
        <v>0.65763888888888888</v>
      </c>
      <c r="L45" s="1">
        <v>0.65902777777777777</v>
      </c>
      <c r="M45" s="1">
        <v>0.66041666666666665</v>
      </c>
      <c r="N45" s="1">
        <v>0.66319444444444442</v>
      </c>
      <c r="O45" s="1">
        <v>0.6645833333333333</v>
      </c>
      <c r="P45" s="1">
        <v>0.66805555555555562</v>
      </c>
      <c r="Q45" s="1">
        <v>0.6694444444444444</v>
      </c>
      <c r="R45" s="1">
        <v>0.67013888888888884</v>
      </c>
      <c r="S45" s="1">
        <v>0.67083333333333339</v>
      </c>
      <c r="T45" s="5"/>
    </row>
    <row r="46" spans="1:21" x14ac:dyDescent="0.2">
      <c r="A46" t="s">
        <v>8</v>
      </c>
      <c r="B46">
        <v>1</v>
      </c>
      <c r="C46" t="s">
        <v>87</v>
      </c>
      <c r="D46" t="s">
        <v>82</v>
      </c>
      <c r="E46">
        <v>1</v>
      </c>
      <c r="F46">
        <v>1</v>
      </c>
      <c r="G46" s="1">
        <v>0.65902777777777777</v>
      </c>
      <c r="H46" s="1">
        <v>0.66041666666666665</v>
      </c>
      <c r="I46" s="1">
        <v>0.66111111111111109</v>
      </c>
      <c r="J46" s="1">
        <v>0.66319444444444442</v>
      </c>
      <c r="K46" s="1">
        <v>0.6645833333333333</v>
      </c>
      <c r="L46" s="1">
        <v>0.66597222222222219</v>
      </c>
      <c r="M46" s="1">
        <v>0.66736111111111107</v>
      </c>
      <c r="N46" s="1">
        <v>0.67013888888888884</v>
      </c>
      <c r="O46" s="1">
        <v>0.67152777777777783</v>
      </c>
      <c r="P46" s="1">
        <v>0.67499999999999993</v>
      </c>
      <c r="Q46" s="1">
        <v>0.67638888888888893</v>
      </c>
      <c r="R46" s="1">
        <v>0.67708333333333337</v>
      </c>
      <c r="S46" s="1">
        <v>0.6777777777777777</v>
      </c>
      <c r="T46" s="5"/>
    </row>
    <row r="47" spans="1:21" x14ac:dyDescent="0.2">
      <c r="A47" t="s">
        <v>8</v>
      </c>
      <c r="B47">
        <v>1</v>
      </c>
      <c r="C47" t="s">
        <v>87</v>
      </c>
      <c r="D47" t="s">
        <v>82</v>
      </c>
      <c r="E47">
        <v>1</v>
      </c>
      <c r="F47">
        <v>1</v>
      </c>
      <c r="G47" s="1">
        <v>0.66666666666666663</v>
      </c>
      <c r="H47" s="1">
        <v>0.66805555555555562</v>
      </c>
      <c r="I47" s="1">
        <v>0.66875000000000007</v>
      </c>
      <c r="J47" s="1">
        <v>0.67083333333333339</v>
      </c>
      <c r="K47" s="1">
        <v>0.67222222222222217</v>
      </c>
      <c r="L47" s="1">
        <v>0.67361111111111116</v>
      </c>
      <c r="M47" s="1">
        <v>0.67499999999999993</v>
      </c>
      <c r="N47" s="1">
        <v>0.6777777777777777</v>
      </c>
      <c r="O47" s="1">
        <v>0.6791666666666667</v>
      </c>
      <c r="P47" s="1">
        <v>0.68263888888888891</v>
      </c>
      <c r="Q47" s="1">
        <v>0.68402777777777779</v>
      </c>
      <c r="R47" s="1">
        <v>0.68472222222222223</v>
      </c>
      <c r="S47" s="1">
        <v>0.68541666666666667</v>
      </c>
      <c r="T47" s="5"/>
    </row>
    <row r="48" spans="1:21" x14ac:dyDescent="0.2">
      <c r="A48" t="s">
        <v>8</v>
      </c>
      <c r="B48">
        <v>1</v>
      </c>
      <c r="C48" t="s">
        <v>87</v>
      </c>
      <c r="D48" t="s">
        <v>82</v>
      </c>
      <c r="E48">
        <v>1</v>
      </c>
      <c r="F48">
        <v>1</v>
      </c>
      <c r="G48" s="1">
        <v>0.67499999999999993</v>
      </c>
      <c r="H48" s="1">
        <v>0.67638888888888893</v>
      </c>
      <c r="I48" s="1">
        <v>0.67708333333333337</v>
      </c>
      <c r="J48" s="1">
        <v>0.6791666666666667</v>
      </c>
      <c r="K48" s="1">
        <v>0.68055555555555547</v>
      </c>
      <c r="L48" s="1">
        <v>0.68194444444444446</v>
      </c>
      <c r="M48" s="1">
        <v>0.68333333333333324</v>
      </c>
      <c r="N48" s="1">
        <v>0.68611111111111101</v>
      </c>
      <c r="O48" s="1">
        <v>0.6875</v>
      </c>
      <c r="P48" s="1">
        <v>0.69097222222222221</v>
      </c>
      <c r="Q48" s="1">
        <v>0.69236111111111109</v>
      </c>
      <c r="R48" s="1">
        <v>0.69305555555555554</v>
      </c>
      <c r="S48" s="1">
        <v>0.69374999999999998</v>
      </c>
      <c r="T48" s="5"/>
    </row>
    <row r="49" spans="1:21" x14ac:dyDescent="0.2">
      <c r="A49" t="s">
        <v>8</v>
      </c>
      <c r="B49">
        <v>1</v>
      </c>
      <c r="C49" t="s">
        <v>87</v>
      </c>
      <c r="D49" t="s">
        <v>82</v>
      </c>
      <c r="E49">
        <v>1</v>
      </c>
      <c r="F49">
        <v>1</v>
      </c>
      <c r="G49" s="1">
        <v>0.68125000000000002</v>
      </c>
      <c r="H49" s="1">
        <v>0.68263888888888891</v>
      </c>
      <c r="I49" s="1">
        <v>0.68333333333333324</v>
      </c>
      <c r="J49" s="1">
        <v>0.68541666666666667</v>
      </c>
      <c r="K49" s="1">
        <v>0.68680555555555556</v>
      </c>
      <c r="L49" s="1">
        <v>0.68819444444444444</v>
      </c>
      <c r="M49" s="1">
        <v>0.68958333333333333</v>
      </c>
      <c r="N49" s="1">
        <v>0.69236111111111109</v>
      </c>
      <c r="O49" s="1">
        <v>0.69374999999999998</v>
      </c>
      <c r="P49" s="1">
        <v>0.6972222222222223</v>
      </c>
      <c r="Q49" s="1">
        <v>0.69861111111111107</v>
      </c>
      <c r="R49" s="1">
        <v>0.69930555555555562</v>
      </c>
      <c r="S49" s="1">
        <v>0.70000000000000007</v>
      </c>
      <c r="T49" s="5"/>
    </row>
    <row r="50" spans="1:21" x14ac:dyDescent="0.2">
      <c r="A50" t="s">
        <v>8</v>
      </c>
      <c r="B50">
        <v>1</v>
      </c>
      <c r="C50" t="s">
        <v>87</v>
      </c>
      <c r="D50" t="s">
        <v>82</v>
      </c>
      <c r="E50">
        <v>1</v>
      </c>
      <c r="F50">
        <v>1</v>
      </c>
      <c r="G50" s="1">
        <v>0.69166666666666676</v>
      </c>
      <c r="H50" s="1">
        <v>0.69305555555555554</v>
      </c>
      <c r="I50" s="1">
        <v>0.69374999999999998</v>
      </c>
      <c r="J50" s="1">
        <v>0.6958333333333333</v>
      </c>
      <c r="K50" s="1">
        <v>0.6972222222222223</v>
      </c>
      <c r="L50" s="1">
        <v>0.69861111111111107</v>
      </c>
      <c r="M50" s="1">
        <v>0.70000000000000007</v>
      </c>
      <c r="N50" s="1">
        <v>0.70277777777777783</v>
      </c>
      <c r="O50" s="1">
        <v>0.70416666666666661</v>
      </c>
      <c r="P50" s="1">
        <v>0.70763888888888893</v>
      </c>
      <c r="Q50" s="1">
        <v>0.7090277777777777</v>
      </c>
      <c r="R50" s="1">
        <v>0.70972222222222225</v>
      </c>
      <c r="S50" s="1">
        <v>0.7104166666666667</v>
      </c>
      <c r="T50" s="5"/>
    </row>
    <row r="51" spans="1:21" x14ac:dyDescent="0.2">
      <c r="A51" t="s">
        <v>8</v>
      </c>
      <c r="B51">
        <v>1</v>
      </c>
      <c r="C51" t="s">
        <v>87</v>
      </c>
      <c r="D51" t="s">
        <v>82</v>
      </c>
      <c r="E51">
        <v>1</v>
      </c>
      <c r="F51">
        <v>1</v>
      </c>
      <c r="G51" s="1">
        <v>0.69861111111111107</v>
      </c>
      <c r="H51" s="1">
        <v>0.70000000000000007</v>
      </c>
      <c r="I51" s="1">
        <v>0.7006944444444444</v>
      </c>
      <c r="J51" s="1">
        <v>0.70277777777777783</v>
      </c>
      <c r="K51" s="1">
        <v>0.70416666666666661</v>
      </c>
      <c r="L51" s="1">
        <v>0.7055555555555556</v>
      </c>
      <c r="M51" s="1">
        <v>0.70694444444444438</v>
      </c>
      <c r="N51" s="1">
        <v>0.70972222222222225</v>
      </c>
      <c r="O51" s="1">
        <v>0.71111111111111114</v>
      </c>
      <c r="P51" s="1">
        <v>0.71458333333333324</v>
      </c>
      <c r="Q51" s="1">
        <v>0.71597222222222223</v>
      </c>
      <c r="R51" s="1">
        <v>0.71666666666666667</v>
      </c>
      <c r="S51" s="1">
        <v>0.71736111111111101</v>
      </c>
      <c r="T51" s="5"/>
    </row>
    <row r="52" spans="1:21" x14ac:dyDescent="0.2">
      <c r="A52" t="s">
        <v>8</v>
      </c>
      <c r="B52">
        <v>1</v>
      </c>
      <c r="C52" t="s">
        <v>87</v>
      </c>
      <c r="D52" t="s">
        <v>82</v>
      </c>
      <c r="E52">
        <v>1</v>
      </c>
      <c r="F52">
        <v>1</v>
      </c>
      <c r="G52" s="1">
        <v>0.70763888888888893</v>
      </c>
      <c r="H52" s="1">
        <v>0.7090277777777777</v>
      </c>
      <c r="I52" s="1">
        <v>0.70972222222222225</v>
      </c>
      <c r="J52" s="1">
        <v>0.71180555555555547</v>
      </c>
      <c r="K52" s="1">
        <v>0.71319444444444446</v>
      </c>
      <c r="L52" s="1">
        <v>0.71458333333333324</v>
      </c>
      <c r="M52" s="1">
        <v>0.71597222222222223</v>
      </c>
      <c r="N52" s="1">
        <v>0.71875</v>
      </c>
      <c r="O52" s="1">
        <v>0.72013888888888899</v>
      </c>
      <c r="P52" s="1">
        <v>0.72361111111111109</v>
      </c>
      <c r="Q52" s="1">
        <v>0.72499999999999998</v>
      </c>
      <c r="R52" s="1">
        <v>0.72569444444444453</v>
      </c>
      <c r="S52" s="1">
        <v>0.72638888888888886</v>
      </c>
      <c r="T52" s="5"/>
    </row>
    <row r="53" spans="1:21" x14ac:dyDescent="0.2">
      <c r="A53" t="s">
        <v>8</v>
      </c>
      <c r="B53">
        <v>1</v>
      </c>
      <c r="C53" t="s">
        <v>87</v>
      </c>
      <c r="D53" t="s">
        <v>82</v>
      </c>
      <c r="E53">
        <v>1</v>
      </c>
      <c r="F53">
        <v>1</v>
      </c>
      <c r="G53" s="1">
        <v>0.71597222222222223</v>
      </c>
      <c r="H53" s="1">
        <v>0.71736111111111101</v>
      </c>
      <c r="I53" s="1">
        <v>0.71805555555555556</v>
      </c>
      <c r="J53" s="1">
        <v>0.72013888888888899</v>
      </c>
      <c r="K53" s="1">
        <v>0.72152777777777777</v>
      </c>
      <c r="L53" s="1">
        <v>0.72291666666666676</v>
      </c>
      <c r="M53" s="1">
        <v>0.72430555555555554</v>
      </c>
      <c r="N53" s="1">
        <v>0.7270833333333333</v>
      </c>
      <c r="O53" s="1">
        <v>0.7284722222222223</v>
      </c>
      <c r="P53" s="1">
        <v>0.7319444444444444</v>
      </c>
      <c r="Q53" s="1">
        <v>0.73333333333333339</v>
      </c>
      <c r="R53" s="1">
        <v>0.73402777777777783</v>
      </c>
      <c r="S53" s="1">
        <v>0.73472222222222217</v>
      </c>
      <c r="T53" s="5"/>
    </row>
    <row r="54" spans="1:21" x14ac:dyDescent="0.2">
      <c r="A54" t="s">
        <v>8</v>
      </c>
      <c r="B54">
        <v>1</v>
      </c>
      <c r="C54" t="s">
        <v>87</v>
      </c>
      <c r="D54" t="s">
        <v>82</v>
      </c>
      <c r="E54">
        <v>1</v>
      </c>
      <c r="F54">
        <v>1</v>
      </c>
      <c r="G54" s="1">
        <v>0.72430555555555554</v>
      </c>
      <c r="H54" s="1">
        <v>0.72569444444444453</v>
      </c>
      <c r="I54" s="1">
        <v>0.72638888888888886</v>
      </c>
      <c r="J54" s="1">
        <v>0.7284722222222223</v>
      </c>
      <c r="K54" s="1">
        <v>0.72986111111111107</v>
      </c>
      <c r="L54" s="1">
        <v>0.73125000000000007</v>
      </c>
      <c r="M54" s="1">
        <v>0.73263888888888884</v>
      </c>
      <c r="N54" s="1">
        <v>0.73541666666666661</v>
      </c>
      <c r="O54" s="1">
        <v>0.7368055555555556</v>
      </c>
      <c r="P54" s="1">
        <v>0.7402777777777777</v>
      </c>
      <c r="Q54" s="1">
        <v>0.7416666666666667</v>
      </c>
      <c r="R54" s="1">
        <v>0.74236111111111114</v>
      </c>
      <c r="S54" s="1">
        <v>0.74305555555555547</v>
      </c>
      <c r="T54" s="5"/>
    </row>
    <row r="55" spans="1:21" x14ac:dyDescent="0.2">
      <c r="A55" t="s">
        <v>8</v>
      </c>
      <c r="B55">
        <v>1</v>
      </c>
      <c r="C55" t="s">
        <v>87</v>
      </c>
      <c r="D55" t="s">
        <v>82</v>
      </c>
      <c r="E55">
        <v>1</v>
      </c>
      <c r="F55">
        <v>1</v>
      </c>
      <c r="G55" s="1">
        <v>0.73541666666666661</v>
      </c>
      <c r="H55" s="1">
        <v>0.7368055555555556</v>
      </c>
      <c r="I55" s="1">
        <v>0.73749999999999993</v>
      </c>
      <c r="J55" s="1">
        <v>0.73958333333333337</v>
      </c>
      <c r="K55" s="1">
        <v>0.74097222222222225</v>
      </c>
      <c r="L55" s="1">
        <v>0.74236111111111114</v>
      </c>
      <c r="M55" s="1">
        <v>0.74375000000000002</v>
      </c>
      <c r="N55" s="1">
        <v>0.74652777777777779</v>
      </c>
      <c r="O55" s="1">
        <v>0.74791666666666667</v>
      </c>
      <c r="P55" s="1">
        <v>0.75138888888888899</v>
      </c>
      <c r="Q55" s="1">
        <v>0.75277777777777777</v>
      </c>
      <c r="R55" s="1">
        <v>0.75347222222222221</v>
      </c>
      <c r="S55" s="1">
        <v>0.75416666666666676</v>
      </c>
      <c r="T55" s="5"/>
    </row>
    <row r="56" spans="1:21" x14ac:dyDescent="0.2">
      <c r="A56" t="s">
        <v>8</v>
      </c>
      <c r="B56">
        <v>1</v>
      </c>
      <c r="C56" t="s">
        <v>87</v>
      </c>
      <c r="D56" t="s">
        <v>82</v>
      </c>
      <c r="E56">
        <v>1</v>
      </c>
      <c r="F56">
        <v>1</v>
      </c>
      <c r="G56" s="1">
        <v>0.74305555555555547</v>
      </c>
      <c r="H56" s="1">
        <v>0.74444444444444446</v>
      </c>
      <c r="I56" s="1">
        <v>0.74513888888888891</v>
      </c>
      <c r="J56" s="1">
        <v>0.74722222222222223</v>
      </c>
      <c r="K56" s="1">
        <v>0.74861111111111101</v>
      </c>
      <c r="L56" s="1">
        <v>0.75</v>
      </c>
      <c r="M56" s="1">
        <v>0.75138888888888899</v>
      </c>
      <c r="N56" s="1">
        <v>0.75416666666666676</v>
      </c>
      <c r="O56" s="1">
        <v>0.75555555555555554</v>
      </c>
      <c r="P56" s="1">
        <v>0.75902777777777775</v>
      </c>
      <c r="Q56" s="1">
        <v>0.76041666666666663</v>
      </c>
      <c r="R56" s="1">
        <v>0.76111111111111107</v>
      </c>
      <c r="S56" s="1">
        <v>0.76180555555555562</v>
      </c>
      <c r="T56" s="5"/>
    </row>
    <row r="57" spans="1:21" x14ac:dyDescent="0.2">
      <c r="A57" t="s">
        <v>8</v>
      </c>
      <c r="B57">
        <v>1</v>
      </c>
      <c r="C57" t="s">
        <v>87</v>
      </c>
      <c r="D57" t="s">
        <v>82</v>
      </c>
      <c r="E57">
        <v>1</v>
      </c>
      <c r="F57">
        <v>1</v>
      </c>
      <c r="G57" s="1">
        <v>0.75</v>
      </c>
      <c r="H57" s="1">
        <v>0.75138888888888899</v>
      </c>
      <c r="I57" s="1">
        <v>0.75208333333333333</v>
      </c>
      <c r="J57" s="1">
        <v>0.75416666666666676</v>
      </c>
      <c r="K57" s="1">
        <v>0.75555555555555554</v>
      </c>
      <c r="L57" s="1">
        <v>0.75694444444444453</v>
      </c>
      <c r="M57" s="1">
        <v>0.7583333333333333</v>
      </c>
      <c r="N57" s="1">
        <v>0.76111111111111107</v>
      </c>
      <c r="O57" s="1">
        <v>0.76250000000000007</v>
      </c>
      <c r="P57" s="1">
        <v>0.76597222222222217</v>
      </c>
      <c r="Q57" s="1">
        <v>0.76736111111111116</v>
      </c>
      <c r="R57" s="1">
        <v>0.7680555555555556</v>
      </c>
      <c r="S57" s="1">
        <v>0.76874999999999993</v>
      </c>
      <c r="T57" s="5"/>
    </row>
    <row r="58" spans="1:21" x14ac:dyDescent="0.2">
      <c r="A58" t="s">
        <v>8</v>
      </c>
      <c r="B58">
        <v>1</v>
      </c>
      <c r="C58" t="s">
        <v>87</v>
      </c>
      <c r="D58" t="s">
        <v>82</v>
      </c>
      <c r="E58">
        <v>1</v>
      </c>
      <c r="F58">
        <v>1</v>
      </c>
      <c r="G58" s="1">
        <v>0.75694444444444453</v>
      </c>
      <c r="H58" s="1">
        <v>0.7583333333333333</v>
      </c>
      <c r="I58" s="1">
        <v>0.75902777777777775</v>
      </c>
      <c r="J58" s="1">
        <v>0.76111111111111107</v>
      </c>
      <c r="K58" s="1">
        <v>0.76250000000000007</v>
      </c>
      <c r="L58" s="1">
        <v>0.76388888888888884</v>
      </c>
      <c r="M58" s="1">
        <v>0.76527777777777783</v>
      </c>
      <c r="N58" s="1">
        <v>0.7680555555555556</v>
      </c>
      <c r="O58" s="1">
        <v>0.76944444444444438</v>
      </c>
      <c r="P58" s="1">
        <v>0.7729166666666667</v>
      </c>
      <c r="Q58" s="1">
        <v>0.77430555555555547</v>
      </c>
      <c r="R58" s="1">
        <v>0.77500000000000002</v>
      </c>
      <c r="S58" s="1">
        <v>0.77569444444444446</v>
      </c>
      <c r="T58" s="5"/>
    </row>
    <row r="59" spans="1:21" x14ac:dyDescent="0.2">
      <c r="A59" t="s">
        <v>8</v>
      </c>
      <c r="B59">
        <v>1</v>
      </c>
      <c r="C59" t="s">
        <v>87</v>
      </c>
      <c r="D59" t="s">
        <v>82</v>
      </c>
      <c r="E59">
        <v>1</v>
      </c>
      <c r="F59">
        <v>1</v>
      </c>
      <c r="G59" s="1">
        <v>0.76388888888888884</v>
      </c>
      <c r="H59" s="1">
        <v>0.76527777777777783</v>
      </c>
      <c r="I59" s="1">
        <v>0.76597222222222217</v>
      </c>
      <c r="J59" s="1">
        <v>0.7680555555555556</v>
      </c>
      <c r="K59" s="1">
        <v>0.76944444444444438</v>
      </c>
      <c r="L59" s="1">
        <v>0.77083333333333337</v>
      </c>
      <c r="M59" s="1">
        <v>0.77222222222222225</v>
      </c>
      <c r="N59" s="1">
        <v>0.77500000000000002</v>
      </c>
      <c r="O59" s="1">
        <v>0.77638888888888891</v>
      </c>
      <c r="P59" s="1">
        <v>0.77986111111111101</v>
      </c>
      <c r="Q59" s="1">
        <v>0.78125</v>
      </c>
      <c r="R59" s="1">
        <v>0.78194444444444444</v>
      </c>
      <c r="S59" s="1">
        <v>0.78263888888888899</v>
      </c>
      <c r="T59" s="5"/>
    </row>
    <row r="60" spans="1:21" x14ac:dyDescent="0.2">
      <c r="A60" t="s">
        <v>8</v>
      </c>
      <c r="B60">
        <v>1</v>
      </c>
      <c r="C60" t="s">
        <v>87</v>
      </c>
      <c r="D60" t="s">
        <v>82</v>
      </c>
      <c r="E60">
        <v>1</v>
      </c>
      <c r="F60">
        <v>1</v>
      </c>
      <c r="G60" s="1">
        <v>0.77083333333333337</v>
      </c>
      <c r="H60" s="1">
        <v>0.77222222222222225</v>
      </c>
      <c r="I60" s="1">
        <v>0.7729166666666667</v>
      </c>
      <c r="J60" s="1">
        <v>0.77500000000000002</v>
      </c>
      <c r="K60" s="1">
        <v>0.77638888888888891</v>
      </c>
      <c r="L60" s="1">
        <v>0.77777777777777779</v>
      </c>
      <c r="M60" s="1">
        <v>0.77916666666666667</v>
      </c>
      <c r="N60" s="1">
        <v>0.78194444444444444</v>
      </c>
      <c r="O60" s="1">
        <v>0.78333333333333333</v>
      </c>
      <c r="P60" s="1">
        <v>0.78680555555555554</v>
      </c>
      <c r="Q60" s="1">
        <v>0.78819444444444453</v>
      </c>
      <c r="R60" s="1">
        <v>0.78888888888888886</v>
      </c>
      <c r="S60" s="1">
        <v>0.7895833333333333</v>
      </c>
      <c r="T60" s="5">
        <f>TIME(0,15,0)</f>
        <v>1.0416666666666666E-2</v>
      </c>
      <c r="U60" s="3">
        <v>0.88541666666666663</v>
      </c>
    </row>
    <row r="61" spans="1:21" x14ac:dyDescent="0.2">
      <c r="A61" t="s">
        <v>8</v>
      </c>
      <c r="B61">
        <v>1</v>
      </c>
      <c r="C61" t="s">
        <v>87</v>
      </c>
      <c r="D61" t="s">
        <v>82</v>
      </c>
      <c r="E61">
        <v>1</v>
      </c>
      <c r="F61">
        <v>1</v>
      </c>
      <c r="G61" s="1">
        <v>0.89583333333333337</v>
      </c>
      <c r="H61" s="1">
        <v>0.89722222222222225</v>
      </c>
      <c r="I61" s="1">
        <v>0.8979166666666667</v>
      </c>
      <c r="J61" s="1">
        <v>0.9</v>
      </c>
      <c r="K61" s="1">
        <v>0.90138888888888891</v>
      </c>
      <c r="L61" s="1">
        <v>0.90277777777777779</v>
      </c>
      <c r="M61" s="1">
        <v>0.90416666666666667</v>
      </c>
      <c r="N61" s="1">
        <v>0.90694444444444444</v>
      </c>
      <c r="O61" s="1">
        <v>0.90833333333333333</v>
      </c>
      <c r="P61" s="1">
        <v>0.91180555555555554</v>
      </c>
      <c r="Q61" s="1">
        <v>0.91319444444444453</v>
      </c>
      <c r="R61" s="1">
        <v>0.91388888888888886</v>
      </c>
      <c r="S61" s="1">
        <v>0.9145833333333333</v>
      </c>
      <c r="T61" s="5">
        <f>TIME(0,20,0)</f>
        <v>1.3888888888888888E-2</v>
      </c>
      <c r="U61" s="3">
        <v>0.97916666666666663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A6B51-4687-8744-BFAC-877B584BC612}">
  <dimension ref="A1:U64"/>
  <sheetViews>
    <sheetView workbookViewId="0">
      <selection activeCell="Y18" sqref="Y18"/>
    </sheetView>
  </sheetViews>
  <sheetFormatPr baseColWidth="10" defaultRowHeight="16" x14ac:dyDescent="0.2"/>
  <cols>
    <col min="1" max="1" width="8" customWidth="1"/>
    <col min="2" max="2" width="5" customWidth="1"/>
    <col min="3" max="3" width="8.5" bestFit="1" customWidth="1"/>
    <col min="4" max="4" width="15.83203125" bestFit="1" customWidth="1"/>
    <col min="5" max="6" width="4" customWidth="1"/>
    <col min="7" max="19" width="8.1640625" bestFit="1" customWidth="1"/>
    <col min="20" max="20" width="10" bestFit="1" customWidth="1"/>
    <col min="21" max="21" width="5.6640625" bestFit="1" customWidth="1"/>
  </cols>
  <sheetData>
    <row r="1" spans="1:21" ht="92" x14ac:dyDescent="0.2">
      <c r="A1" s="6" t="str">
        <f>_xlfn.IFNA(INDEX(Stops!$2:$1048576,MATCH(A2,Stops!$A$2:$A$1048576,0),MATCH("stop_name",Stops!$1:$1,0)),IF(ISBLANK(A2),"",A2))</f>
        <v>route_id</v>
      </c>
      <c r="B1" s="6" t="str">
        <f>_xlfn.IFNA(INDEX(Stops!$2:$1048576,MATCH(B2,Stops!$A$2:$A$1048576,0),MATCH("stop_name",Stops!$1:$1,0)),IF(ISBLANK(B2),"",B2))</f>
        <v>direction_id</v>
      </c>
      <c r="C1" s="6" t="str">
        <f>_xlfn.IFNA(INDEX(Stops!$2:$1048576,MATCH(C2,Stops!$A$2:$A$1048576,0),MATCH("stop_name",Stops!$1:$1,0)),IF(ISBLANK(C2),"",C2))</f>
        <v>shape_id</v>
      </c>
      <c r="D1" s="6" t="str">
        <f>_xlfn.IFNA(INDEX(Stops!$2:$1048576,MATCH(D2,Stops!$A$2:$A$1048576,0),MATCH("stop_name",Stops!$1:$1,0)),IF(ISBLANK(D2),"",D2))</f>
        <v>headsign</v>
      </c>
      <c r="E1" s="6" t="str">
        <f>_xlfn.IFNA(INDEX(Stops!$2:$1048576,MATCH(E2,Stops!$A$2:$A$1048576,0),MATCH("stop_name",Stops!$1:$1,0)),IF(ISBLANK(E2),"",E2))</f>
        <v>wheelchair_accessible</v>
      </c>
      <c r="F1" s="6" t="str">
        <f>_xlfn.IFNA(INDEX(Stops!$2:$1048576,MATCH(F2,Stops!$A$2:$A$1048576,0),MATCH("stop_name",Stops!$1:$1,0)),IF(ISBLANK(F2),"",F2))</f>
        <v>bikes_allowed</v>
      </c>
      <c r="G1" s="6" t="str">
        <f>_xlfn.IFNA(INDEX(Stops!$2:$1048576,MATCH(G2,Stops!$A$2:$A$1048576,0),MATCH("stop_name",Stops!$1:$1,0)),IF(ISBLANK(G2),"",G2))</f>
        <v>15-16th and Locust</v>
      </c>
      <c r="H1" s="6" t="str">
        <f>_xlfn.IFNA(INDEX(Stops!$2:$1048576,MATCH(H2,Stops!$A$2:$A$1048576,0),MATCH("stop_name",Stops!$1:$1,0)),IF(ISBLANK(H2),"",H2))</f>
        <v>12-13th and Locust</v>
      </c>
      <c r="I1" s="6" t="str">
        <f>_xlfn.IFNA(INDEX(Stops!$2:$1048576,MATCH(I2,Stops!$A$2:$A$1048576,0),MATCH("stop_name",Stops!$1:$1,0)),IF(ISBLANK(I2),"",I2))</f>
        <v>9-10th and Locust</v>
      </c>
      <c r="J1" s="6" t="str">
        <f>_xlfn.IFNA(INDEX(Stops!$2:$1048576,MATCH(J2,Stops!$A$2:$A$1048576,0),MATCH("stop_name",Stops!$1:$1,0)),IF(ISBLANK(J2),"",J2))</f>
        <v>8th and Market</v>
      </c>
      <c r="K1" s="6" t="str">
        <f>_xlfn.IFNA(INDEX(Stops!$2:$1048576,MATCH(K2,Stops!$A$2:$A$1048576,0),MATCH("stop_name",Stops!$1:$1,0)),IF(ISBLANK(K2),"",K2))</f>
        <v>City Hall</v>
      </c>
      <c r="L1" s="6" t="str">
        <f>_xlfn.IFNA(INDEX(Stops!$2:$1048576,MATCH(L2,Stops!$A$2:$A$1048576,0),MATCH("stop_name",Stops!$1:$1,0)),IF(ISBLANK(L2),"",L2))</f>
        <v>Broadway</v>
      </c>
      <c r="M1" s="6" t="str">
        <f>_xlfn.IFNA(INDEX(Stops!$2:$1048576,MATCH(M2,Stops!$A$2:$A$1048576,0),MATCH("stop_name",Stops!$1:$1,0)),IF(ISBLANK(M2),"",M2))</f>
        <v>Ferry Avenue</v>
      </c>
      <c r="N1" s="6" t="str">
        <f>_xlfn.IFNA(INDEX(Stops!$2:$1048576,MATCH(N2,Stops!$A$2:$A$1048576,0),MATCH("stop_name",Stops!$1:$1,0)),IF(ISBLANK(N2),"",N2))</f>
        <v>Collingswood</v>
      </c>
      <c r="O1" s="6" t="str">
        <f>_xlfn.IFNA(INDEX(Stops!$2:$1048576,MATCH(O2,Stops!$A$2:$A$1048576,0),MATCH("stop_name",Stops!$1:$1,0)),IF(ISBLANK(O2),"",O2))</f>
        <v>Westmont</v>
      </c>
      <c r="P1" s="6" t="str">
        <f>_xlfn.IFNA(INDEX(Stops!$2:$1048576,MATCH(P2,Stops!$A$2:$A$1048576,0),MATCH("stop_name",Stops!$1:$1,0)),IF(ISBLANK(P2),"",P2))</f>
        <v>Haddonfield</v>
      </c>
      <c r="Q1" s="6" t="str">
        <f>_xlfn.IFNA(INDEX(Stops!$2:$1048576,MATCH(Q2,Stops!$A$2:$A$1048576,0),MATCH("stop_name",Stops!$1:$1,0)),IF(ISBLANK(Q2),"",Q2))</f>
        <v>Woodcrest</v>
      </c>
      <c r="R1" s="6" t="str">
        <f>_xlfn.IFNA(INDEX(Stops!$2:$1048576,MATCH(R2,Stops!$A$2:$A$1048576,0),MATCH("stop_name",Stops!$1:$1,0)),IF(ISBLANK(R2),"",R2))</f>
        <v>Ashland</v>
      </c>
      <c r="S1" s="6" t="str">
        <f>_xlfn.IFNA(INDEX(Stops!$2:$1048576,MATCH(S2,Stops!$A$2:$A$1048576,0),MATCH("stop_name",Stops!$1:$1,0)),IF(ISBLANK(S2),"",S2))</f>
        <v>Lindenwold</v>
      </c>
      <c r="T1" s="7" t="str">
        <f>_xlfn.IFNA(INDEX(Stops!$2:$1048576,MATCH(T2,Stops!$A$2:$A$1048576,0),MATCH("stop_name",Stops!$1:$1,0)),IF(ISBLANK(T2),"",T2))</f>
        <v>Then Every</v>
      </c>
      <c r="U1" s="6" t="str">
        <f>_xlfn.IFNA(INDEX(Stops!$2:$1048576,MATCH(U2,Stops!$A$2:$A$1048576,0),MATCH("stop_name",Stops!$1:$1,0)),IF(ISBLANK(U2),"",U2))</f>
        <v>Until</v>
      </c>
    </row>
    <row r="2" spans="1:21" x14ac:dyDescent="0.2">
      <c r="A2" s="2" t="s">
        <v>14</v>
      </c>
      <c r="B2" s="2" t="s">
        <v>77</v>
      </c>
      <c r="C2" s="2" t="s">
        <v>24</v>
      </c>
      <c r="D2" s="2" t="s">
        <v>81</v>
      </c>
      <c r="E2" s="2" t="s">
        <v>78</v>
      </c>
      <c r="F2" s="2" t="s">
        <v>79</v>
      </c>
      <c r="G2" s="2" t="s">
        <v>140</v>
      </c>
      <c r="H2" s="2" t="s">
        <v>139</v>
      </c>
      <c r="I2" s="2" t="s">
        <v>131</v>
      </c>
      <c r="J2" s="2" t="s">
        <v>130</v>
      </c>
      <c r="K2" s="2" t="s">
        <v>128</v>
      </c>
      <c r="L2" s="2" t="s">
        <v>132</v>
      </c>
      <c r="M2" s="2" t="s">
        <v>133</v>
      </c>
      <c r="N2" s="2" t="s">
        <v>134</v>
      </c>
      <c r="O2" s="2" t="s">
        <v>135</v>
      </c>
      <c r="P2" s="2" t="s">
        <v>137</v>
      </c>
      <c r="Q2" s="2" t="s">
        <v>136</v>
      </c>
      <c r="R2" s="2" t="s">
        <v>129</v>
      </c>
      <c r="S2" s="2" t="s">
        <v>138</v>
      </c>
      <c r="T2" s="4" t="s">
        <v>83</v>
      </c>
      <c r="U2" s="2" t="s">
        <v>84</v>
      </c>
    </row>
    <row r="3" spans="1:21" x14ac:dyDescent="0.2">
      <c r="A3" t="s">
        <v>8</v>
      </c>
      <c r="B3">
        <v>0</v>
      </c>
      <c r="C3" t="s">
        <v>85</v>
      </c>
      <c r="D3" t="s">
        <v>88</v>
      </c>
      <c r="E3">
        <v>1</v>
      </c>
      <c r="F3">
        <v>1</v>
      </c>
      <c r="G3" s="1">
        <v>3.472222222222222E-3</v>
      </c>
      <c r="H3" s="1">
        <v>4.1666666666666666E-3</v>
      </c>
      <c r="I3" s="1">
        <v>4.8611111111111112E-3</v>
      </c>
      <c r="J3" s="1">
        <v>6.2499999999999995E-3</v>
      </c>
      <c r="K3" s="1">
        <v>9.7222222222222224E-3</v>
      </c>
      <c r="L3" s="1">
        <v>1.0416666666666666E-2</v>
      </c>
      <c r="M3" s="1">
        <v>1.2499999999999999E-2</v>
      </c>
      <c r="N3" s="1">
        <v>1.3888888888888888E-2</v>
      </c>
      <c r="O3" s="1">
        <v>1.5277777777777777E-2</v>
      </c>
      <c r="P3" s="1">
        <v>1.6666666666666666E-2</v>
      </c>
      <c r="Q3" s="1">
        <v>1.8749999999999999E-2</v>
      </c>
      <c r="R3" s="1">
        <v>2.013888888888889E-2</v>
      </c>
      <c r="S3" s="1">
        <v>2.361111111111111E-2</v>
      </c>
      <c r="T3" s="5"/>
      <c r="U3" s="3"/>
    </row>
    <row r="4" spans="1:21" x14ac:dyDescent="0.2">
      <c r="A4" t="s">
        <v>8</v>
      </c>
      <c r="B4">
        <v>0</v>
      </c>
      <c r="C4" t="s">
        <v>85</v>
      </c>
      <c r="D4" t="s">
        <v>88</v>
      </c>
      <c r="E4">
        <v>1</v>
      </c>
      <c r="F4">
        <v>1</v>
      </c>
      <c r="G4" s="1">
        <v>2.361111111111111E-2</v>
      </c>
      <c r="H4" s="1">
        <v>2.4305555555555556E-2</v>
      </c>
      <c r="I4" s="1"/>
      <c r="J4" s="1">
        <v>2.6388888888888889E-2</v>
      </c>
      <c r="K4" s="1">
        <v>2.9861111111111113E-2</v>
      </c>
      <c r="L4" s="1">
        <v>3.0555555555555555E-2</v>
      </c>
      <c r="M4" s="1">
        <v>3.2638888888888891E-2</v>
      </c>
      <c r="N4" s="1">
        <v>3.4027777777777775E-2</v>
      </c>
      <c r="O4" s="1">
        <v>3.5416666666666666E-2</v>
      </c>
      <c r="P4" s="1">
        <v>3.6805555555555557E-2</v>
      </c>
      <c r="Q4" s="1">
        <v>3.888888888888889E-2</v>
      </c>
      <c r="R4" s="1">
        <v>4.027777777777778E-2</v>
      </c>
      <c r="S4" s="1">
        <v>4.2361111111111106E-2</v>
      </c>
      <c r="T4" s="5">
        <f>TIME(0,60,0)</f>
        <v>4.1666666666666664E-2</v>
      </c>
      <c r="U4" s="3">
        <v>0.14861111111111111</v>
      </c>
    </row>
    <row r="5" spans="1:21" x14ac:dyDescent="0.2">
      <c r="A5" t="s">
        <v>8</v>
      </c>
      <c r="B5">
        <v>0</v>
      </c>
      <c r="C5" t="s">
        <v>85</v>
      </c>
      <c r="D5" t="s">
        <v>88</v>
      </c>
      <c r="E5">
        <v>1</v>
      </c>
      <c r="F5">
        <v>1</v>
      </c>
      <c r="G5" s="1">
        <v>0.19027777777777777</v>
      </c>
      <c r="H5" s="1">
        <v>0.19097222222222221</v>
      </c>
      <c r="I5" s="1">
        <v>0.19166666666666665</v>
      </c>
      <c r="J5" s="1">
        <v>0.19305555555555554</v>
      </c>
      <c r="K5" s="1">
        <v>0.19652777777777777</v>
      </c>
      <c r="L5" s="1">
        <v>0.19722222222222222</v>
      </c>
      <c r="M5" s="1">
        <v>0.19930555555555554</v>
      </c>
      <c r="N5" s="1">
        <v>0.20069444444444443</v>
      </c>
      <c r="O5" s="1">
        <v>0.20208333333333331</v>
      </c>
      <c r="P5" s="1">
        <v>0.20347222222222219</v>
      </c>
      <c r="Q5" s="1">
        <v>0.20555555555555557</v>
      </c>
      <c r="R5" s="1">
        <v>0.20694444444444446</v>
      </c>
      <c r="S5" s="1">
        <v>0.20902777777777778</v>
      </c>
      <c r="T5" s="5"/>
    </row>
    <row r="6" spans="1:21" x14ac:dyDescent="0.2">
      <c r="A6" t="s">
        <v>8</v>
      </c>
      <c r="B6">
        <v>0</v>
      </c>
      <c r="C6" t="s">
        <v>85</v>
      </c>
      <c r="D6" t="s">
        <v>88</v>
      </c>
      <c r="E6">
        <v>1</v>
      </c>
      <c r="F6">
        <v>1</v>
      </c>
      <c r="G6" s="1">
        <v>0.21180555555555555</v>
      </c>
      <c r="H6" s="1">
        <v>0.21249999999999999</v>
      </c>
      <c r="I6" s="1">
        <v>0.21319444444444444</v>
      </c>
      <c r="J6" s="1">
        <v>0.21458333333333335</v>
      </c>
      <c r="K6" s="1">
        <v>0.21805555555555556</v>
      </c>
      <c r="L6" s="1">
        <v>0.21875</v>
      </c>
      <c r="M6" s="1">
        <v>0.22083333333333333</v>
      </c>
      <c r="N6" s="1">
        <v>0.22222222222222221</v>
      </c>
      <c r="O6" s="1">
        <v>0.22361111111111109</v>
      </c>
      <c r="P6" s="1">
        <v>0.22500000000000001</v>
      </c>
      <c r="Q6" s="1">
        <v>0.22708333333333333</v>
      </c>
      <c r="R6" s="1">
        <v>0.22847222222222222</v>
      </c>
      <c r="S6" s="1">
        <v>0.23055555555555554</v>
      </c>
      <c r="T6" s="5"/>
      <c r="U6" s="3"/>
    </row>
    <row r="7" spans="1:21" x14ac:dyDescent="0.2">
      <c r="A7" t="s">
        <v>8</v>
      </c>
      <c r="B7">
        <v>0</v>
      </c>
      <c r="C7" t="s">
        <v>85</v>
      </c>
      <c r="D7" t="s">
        <v>88</v>
      </c>
      <c r="E7">
        <v>1</v>
      </c>
      <c r="F7">
        <v>1</v>
      </c>
      <c r="G7" s="1">
        <v>0.23263888888888887</v>
      </c>
      <c r="H7" s="1">
        <v>0.23333333333333331</v>
      </c>
      <c r="I7" s="1">
        <v>0.23402777777777781</v>
      </c>
      <c r="J7" s="1">
        <v>0.23541666666666669</v>
      </c>
      <c r="K7" s="1">
        <v>0.2388888888888889</v>
      </c>
      <c r="L7" s="1">
        <v>0.23958333333333334</v>
      </c>
      <c r="M7" s="1">
        <v>0.24166666666666667</v>
      </c>
      <c r="N7" s="1">
        <v>0.24305555555555555</v>
      </c>
      <c r="O7" s="1">
        <v>0.24444444444444446</v>
      </c>
      <c r="P7" s="1">
        <v>0.24583333333333335</v>
      </c>
      <c r="Q7" s="1">
        <v>0.24791666666666667</v>
      </c>
      <c r="R7" s="1">
        <v>0.24930555555555556</v>
      </c>
      <c r="S7" s="1">
        <v>0.25138888888888888</v>
      </c>
      <c r="T7" s="5">
        <f>TIME(0,15,0)</f>
        <v>1.0416666666666666E-2</v>
      </c>
      <c r="U7" s="3">
        <v>0.27430555555555552</v>
      </c>
    </row>
    <row r="8" spans="1:21" x14ac:dyDescent="0.2">
      <c r="A8" t="s">
        <v>8</v>
      </c>
      <c r="B8">
        <v>0</v>
      </c>
      <c r="C8" t="s">
        <v>85</v>
      </c>
      <c r="D8" t="s">
        <v>88</v>
      </c>
      <c r="E8">
        <v>1</v>
      </c>
      <c r="F8">
        <v>1</v>
      </c>
      <c r="G8" s="1">
        <v>0.28125</v>
      </c>
      <c r="H8" s="1">
        <v>0.28194444444444444</v>
      </c>
      <c r="I8" s="1">
        <v>0.28263888888888888</v>
      </c>
      <c r="J8" s="1">
        <v>0.28402777777777777</v>
      </c>
      <c r="K8" s="1">
        <v>0.28750000000000003</v>
      </c>
      <c r="L8" s="1">
        <v>0.28819444444444448</v>
      </c>
      <c r="M8" s="1">
        <v>0.2902777777777778</v>
      </c>
      <c r="N8" s="1">
        <v>0.29166666666666669</v>
      </c>
      <c r="O8" s="1">
        <v>0.29305555555555557</v>
      </c>
      <c r="P8" s="1">
        <v>0.29444444444444445</v>
      </c>
      <c r="Q8" s="1">
        <v>0.29652777777777778</v>
      </c>
      <c r="R8" s="1">
        <v>0.29791666666666666</v>
      </c>
      <c r="S8" s="1">
        <v>0.3</v>
      </c>
      <c r="T8" s="5"/>
    </row>
    <row r="9" spans="1:21" x14ac:dyDescent="0.2">
      <c r="A9" t="s">
        <v>8</v>
      </c>
      <c r="B9">
        <v>0</v>
      </c>
      <c r="C9" t="s">
        <v>85</v>
      </c>
      <c r="D9" t="s">
        <v>88</v>
      </c>
      <c r="E9">
        <v>1</v>
      </c>
      <c r="F9">
        <v>1</v>
      </c>
      <c r="G9" s="1">
        <v>0.28819444444444448</v>
      </c>
      <c r="H9" s="1">
        <v>0.28888888888888892</v>
      </c>
      <c r="I9" s="1">
        <v>0.28958333333333336</v>
      </c>
      <c r="J9" s="1">
        <v>0.29097222222222224</v>
      </c>
      <c r="K9" s="1">
        <v>0.29444444444444445</v>
      </c>
      <c r="L9" s="1">
        <v>0.2951388888888889</v>
      </c>
      <c r="M9" s="1">
        <v>0.29722222222222222</v>
      </c>
      <c r="N9" s="1">
        <v>0.2986111111111111</v>
      </c>
      <c r="O9" s="1">
        <v>0.3</v>
      </c>
      <c r="P9" s="1">
        <v>0.30138888888888887</v>
      </c>
      <c r="Q9" s="1">
        <v>0.3034722222222222</v>
      </c>
      <c r="R9" s="1">
        <v>0.30486111111111108</v>
      </c>
      <c r="S9" s="1">
        <v>0.30694444444444441</v>
      </c>
      <c r="T9" s="5"/>
    </row>
    <row r="10" spans="1:21" x14ac:dyDescent="0.2">
      <c r="A10" t="s">
        <v>8</v>
      </c>
      <c r="B10">
        <v>0</v>
      </c>
      <c r="C10" t="s">
        <v>85</v>
      </c>
      <c r="D10" t="s">
        <v>88</v>
      </c>
      <c r="E10">
        <v>1</v>
      </c>
      <c r="F10">
        <v>1</v>
      </c>
      <c r="G10" s="1">
        <v>0.29305555555555557</v>
      </c>
      <c r="H10" s="1">
        <v>0.29375000000000001</v>
      </c>
      <c r="I10" s="1">
        <v>0.29444444444444445</v>
      </c>
      <c r="J10" s="1">
        <v>0.29583333333333334</v>
      </c>
      <c r="K10" s="1">
        <v>0.29930555555555555</v>
      </c>
      <c r="L10" s="1">
        <v>0.3</v>
      </c>
      <c r="M10" s="1">
        <v>0.30208333333333331</v>
      </c>
      <c r="N10" s="1">
        <v>0.3034722222222222</v>
      </c>
      <c r="O10" s="1">
        <v>0.30486111111111108</v>
      </c>
      <c r="P10" s="1">
        <v>0.30624999999999997</v>
      </c>
      <c r="Q10" s="1">
        <v>0.30833333333333335</v>
      </c>
      <c r="R10" s="1">
        <v>0.30972222222222223</v>
      </c>
      <c r="S10" s="1">
        <v>0.31180555555555556</v>
      </c>
      <c r="T10" s="5"/>
    </row>
    <row r="11" spans="1:21" x14ac:dyDescent="0.2">
      <c r="A11" t="s">
        <v>8</v>
      </c>
      <c r="B11">
        <v>0</v>
      </c>
      <c r="C11" t="s">
        <v>85</v>
      </c>
      <c r="D11" t="s">
        <v>88</v>
      </c>
      <c r="E11">
        <v>1</v>
      </c>
      <c r="F11">
        <v>1</v>
      </c>
      <c r="G11" s="1">
        <v>0.3</v>
      </c>
      <c r="H11" s="1">
        <v>0.30069444444444443</v>
      </c>
      <c r="I11" s="1">
        <v>0.30138888888888887</v>
      </c>
      <c r="J11" s="1">
        <v>0.30277777777777776</v>
      </c>
      <c r="K11" s="1">
        <v>0.30624999999999997</v>
      </c>
      <c r="L11" s="1">
        <v>0.30694444444444441</v>
      </c>
      <c r="M11" s="1">
        <v>0.30902777777777779</v>
      </c>
      <c r="N11" s="1">
        <v>0.31041666666666667</v>
      </c>
      <c r="O11" s="1">
        <v>0.31180555555555556</v>
      </c>
      <c r="P11" s="1">
        <v>0.31319444444444444</v>
      </c>
      <c r="Q11" s="1">
        <v>0.31527777777777777</v>
      </c>
      <c r="R11" s="1">
        <v>0.31666666666666665</v>
      </c>
      <c r="S11" s="1">
        <v>0.31875000000000003</v>
      </c>
      <c r="T11" s="5"/>
    </row>
    <row r="12" spans="1:21" x14ac:dyDescent="0.2">
      <c r="A12" t="s">
        <v>8</v>
      </c>
      <c r="B12">
        <v>0</v>
      </c>
      <c r="C12" t="s">
        <v>85</v>
      </c>
      <c r="D12" t="s">
        <v>88</v>
      </c>
      <c r="E12">
        <v>1</v>
      </c>
      <c r="F12">
        <v>1</v>
      </c>
      <c r="G12" s="1">
        <v>0.30694444444444441</v>
      </c>
      <c r="H12" s="1">
        <v>0.30763888888888891</v>
      </c>
      <c r="I12" s="1">
        <v>0.30833333333333335</v>
      </c>
      <c r="J12" s="1">
        <v>0.30972222222222223</v>
      </c>
      <c r="K12" s="1">
        <v>0.31319444444444444</v>
      </c>
      <c r="L12" s="1">
        <v>0.31388888888888888</v>
      </c>
      <c r="M12" s="1">
        <v>0.31597222222222221</v>
      </c>
      <c r="N12" s="1">
        <v>0.31736111111111115</v>
      </c>
      <c r="O12" s="1">
        <v>0.31875000000000003</v>
      </c>
      <c r="P12" s="1">
        <v>0.32013888888888892</v>
      </c>
      <c r="Q12" s="1">
        <v>0.32222222222222224</v>
      </c>
      <c r="R12" s="1">
        <v>0.32361111111111113</v>
      </c>
      <c r="S12" s="1">
        <v>0.32569444444444445</v>
      </c>
      <c r="T12" s="5"/>
    </row>
    <row r="13" spans="1:21" x14ac:dyDescent="0.2">
      <c r="A13" t="s">
        <v>8</v>
      </c>
      <c r="B13">
        <v>0</v>
      </c>
      <c r="C13" t="s">
        <v>85</v>
      </c>
      <c r="D13" t="s">
        <v>88</v>
      </c>
      <c r="E13">
        <v>1</v>
      </c>
      <c r="F13">
        <v>1</v>
      </c>
      <c r="G13" s="1">
        <v>0.31666666666666665</v>
      </c>
      <c r="H13" s="1">
        <v>0.31736111111111115</v>
      </c>
      <c r="I13" s="1">
        <v>0.31805555555555554</v>
      </c>
      <c r="J13" s="1">
        <v>0.31944444444444448</v>
      </c>
      <c r="K13" s="1">
        <v>0.32291666666666669</v>
      </c>
      <c r="L13" s="1">
        <v>0.32361111111111113</v>
      </c>
      <c r="M13" s="1">
        <v>0.32569444444444445</v>
      </c>
      <c r="N13" s="1">
        <v>0.32708333333333334</v>
      </c>
      <c r="O13" s="1">
        <v>0.32847222222222222</v>
      </c>
      <c r="P13" s="1">
        <v>0.3298611111111111</v>
      </c>
      <c r="Q13" s="1">
        <v>0.33194444444444443</v>
      </c>
      <c r="R13" s="1">
        <v>0.33333333333333331</v>
      </c>
      <c r="S13" s="1">
        <v>0.3354166666666667</v>
      </c>
      <c r="T13" s="5"/>
    </row>
    <row r="14" spans="1:21" x14ac:dyDescent="0.2">
      <c r="A14" t="s">
        <v>8</v>
      </c>
      <c r="B14">
        <v>0</v>
      </c>
      <c r="C14" t="s">
        <v>85</v>
      </c>
      <c r="D14" t="s">
        <v>88</v>
      </c>
      <c r="E14">
        <v>1</v>
      </c>
      <c r="F14">
        <v>1</v>
      </c>
      <c r="G14" s="1">
        <v>0.32500000000000001</v>
      </c>
      <c r="H14" s="1">
        <v>0.32569444444444445</v>
      </c>
      <c r="I14" s="1">
        <v>0.3263888888888889</v>
      </c>
      <c r="J14" s="1">
        <v>0.32777777777777778</v>
      </c>
      <c r="K14" s="1">
        <v>0.33124999999999999</v>
      </c>
      <c r="L14" s="1">
        <v>0.33194444444444443</v>
      </c>
      <c r="M14" s="1">
        <v>0.33402777777777781</v>
      </c>
      <c r="N14" s="1">
        <v>0.3354166666666667</v>
      </c>
      <c r="O14" s="1">
        <v>0.33680555555555558</v>
      </c>
      <c r="P14" s="1">
        <v>0.33819444444444446</v>
      </c>
      <c r="Q14" s="1">
        <v>0.34027777777777773</v>
      </c>
      <c r="R14" s="1">
        <v>0.34166666666666662</v>
      </c>
      <c r="S14" s="1">
        <v>0.34375</v>
      </c>
      <c r="T14" s="5"/>
    </row>
    <row r="15" spans="1:21" x14ac:dyDescent="0.2">
      <c r="A15" t="s">
        <v>8</v>
      </c>
      <c r="B15">
        <v>0</v>
      </c>
      <c r="C15" t="s">
        <v>85</v>
      </c>
      <c r="D15" t="s">
        <v>88</v>
      </c>
      <c r="E15">
        <v>1</v>
      </c>
      <c r="F15">
        <v>1</v>
      </c>
      <c r="G15" s="1">
        <v>0.33402777777777781</v>
      </c>
      <c r="H15" s="1">
        <v>0.3347222222222222</v>
      </c>
      <c r="I15" s="1">
        <v>0.3354166666666667</v>
      </c>
      <c r="J15" s="1">
        <v>0.33680555555555558</v>
      </c>
      <c r="K15" s="1">
        <v>0.34027777777777773</v>
      </c>
      <c r="L15" s="1">
        <v>0.34097222222222223</v>
      </c>
      <c r="M15" s="1">
        <v>0.3430555555555555</v>
      </c>
      <c r="N15" s="1">
        <v>0.3444444444444445</v>
      </c>
      <c r="O15" s="1">
        <v>0.34583333333333338</v>
      </c>
      <c r="P15" s="1">
        <v>0.34722222222222227</v>
      </c>
      <c r="Q15" s="1">
        <v>0.34930555555555554</v>
      </c>
      <c r="R15" s="1">
        <v>0.35069444444444442</v>
      </c>
      <c r="S15" s="1">
        <v>0.3527777777777778</v>
      </c>
      <c r="T15" s="5"/>
    </row>
    <row r="16" spans="1:21" x14ac:dyDescent="0.2">
      <c r="A16" t="s">
        <v>8</v>
      </c>
      <c r="B16">
        <v>0</v>
      </c>
      <c r="C16" t="s">
        <v>85</v>
      </c>
      <c r="D16" t="s">
        <v>88</v>
      </c>
      <c r="E16">
        <v>1</v>
      </c>
      <c r="F16">
        <v>1</v>
      </c>
      <c r="G16" s="1">
        <v>0.3430555555555555</v>
      </c>
      <c r="H16" s="1">
        <v>0.34375</v>
      </c>
      <c r="I16" s="1">
        <v>0.3444444444444445</v>
      </c>
      <c r="J16" s="1">
        <v>0.34583333333333338</v>
      </c>
      <c r="K16" s="1">
        <v>0.34930555555555554</v>
      </c>
      <c r="L16" s="1">
        <v>0.35000000000000003</v>
      </c>
      <c r="M16" s="1">
        <v>0.3520833333333333</v>
      </c>
      <c r="N16" s="1">
        <v>0.35347222222222219</v>
      </c>
      <c r="O16" s="1">
        <v>0.35486111111111113</v>
      </c>
      <c r="P16" s="1">
        <v>0.35625000000000001</v>
      </c>
      <c r="Q16" s="1">
        <v>0.35833333333333334</v>
      </c>
      <c r="R16" s="1">
        <v>0.35972222222222222</v>
      </c>
      <c r="S16" s="1">
        <v>0.36180555555555555</v>
      </c>
      <c r="T16" s="5"/>
    </row>
    <row r="17" spans="1:21" x14ac:dyDescent="0.2">
      <c r="A17" t="s">
        <v>8</v>
      </c>
      <c r="B17">
        <v>0</v>
      </c>
      <c r="C17" t="s">
        <v>85</v>
      </c>
      <c r="D17" t="s">
        <v>88</v>
      </c>
      <c r="E17">
        <v>1</v>
      </c>
      <c r="F17">
        <v>1</v>
      </c>
      <c r="G17" s="1">
        <v>0.3527777777777778</v>
      </c>
      <c r="H17" s="1">
        <v>0.35347222222222219</v>
      </c>
      <c r="I17" s="1">
        <v>0.35416666666666669</v>
      </c>
      <c r="J17" s="1">
        <v>0.35555555555555557</v>
      </c>
      <c r="K17" s="1">
        <v>0.35902777777777778</v>
      </c>
      <c r="L17" s="1">
        <v>0.35972222222222222</v>
      </c>
      <c r="M17" s="1">
        <v>0.36180555555555555</v>
      </c>
      <c r="N17" s="1">
        <v>0.36319444444444443</v>
      </c>
      <c r="O17" s="1">
        <v>0.36458333333333331</v>
      </c>
      <c r="P17" s="1">
        <v>0.3659722222222222</v>
      </c>
      <c r="Q17" s="1">
        <v>0.36805555555555558</v>
      </c>
      <c r="R17" s="1">
        <v>0.36944444444444446</v>
      </c>
      <c r="S17" s="1">
        <v>0.37152777777777773</v>
      </c>
      <c r="T17" s="5"/>
    </row>
    <row r="18" spans="1:21" x14ac:dyDescent="0.2">
      <c r="A18" t="s">
        <v>8</v>
      </c>
      <c r="B18">
        <v>0</v>
      </c>
      <c r="C18" t="s">
        <v>85</v>
      </c>
      <c r="D18" t="s">
        <v>88</v>
      </c>
      <c r="E18">
        <v>1</v>
      </c>
      <c r="F18">
        <v>1</v>
      </c>
      <c r="G18" s="1">
        <v>0.36249999999999999</v>
      </c>
      <c r="H18" s="1">
        <v>0.36319444444444443</v>
      </c>
      <c r="I18" s="1">
        <v>0.36388888888888887</v>
      </c>
      <c r="J18" s="1">
        <v>0.36527777777777781</v>
      </c>
      <c r="K18" s="1">
        <v>0.36874999999999997</v>
      </c>
      <c r="L18" s="1">
        <v>0.36944444444444446</v>
      </c>
      <c r="M18" s="1">
        <v>0.37152777777777773</v>
      </c>
      <c r="N18" s="1">
        <v>0.37291666666666662</v>
      </c>
      <c r="O18" s="1">
        <v>0.3743055555555555</v>
      </c>
      <c r="P18" s="1">
        <v>0.3756944444444445</v>
      </c>
      <c r="Q18" s="1">
        <v>0.37777777777777777</v>
      </c>
      <c r="R18" s="1">
        <v>0.37916666666666665</v>
      </c>
      <c r="S18" s="1">
        <v>0.38125000000000003</v>
      </c>
      <c r="T18" s="5"/>
    </row>
    <row r="19" spans="1:21" x14ac:dyDescent="0.2">
      <c r="A19" t="s">
        <v>8</v>
      </c>
      <c r="B19">
        <v>0</v>
      </c>
      <c r="C19" t="s">
        <v>85</v>
      </c>
      <c r="D19" t="s">
        <v>88</v>
      </c>
      <c r="E19">
        <v>1</v>
      </c>
      <c r="F19">
        <v>1</v>
      </c>
      <c r="G19" s="1">
        <v>0.36944444444444446</v>
      </c>
      <c r="H19" s="1">
        <v>0.37013888888888885</v>
      </c>
      <c r="I19" s="1">
        <v>0.37083333333333335</v>
      </c>
      <c r="J19" s="1">
        <v>0.37222222222222223</v>
      </c>
      <c r="K19" s="1">
        <v>0.3756944444444445</v>
      </c>
      <c r="L19" s="1">
        <v>0.37638888888888888</v>
      </c>
      <c r="M19" s="1">
        <v>0.37847222222222227</v>
      </c>
      <c r="N19" s="1">
        <v>0.37986111111111115</v>
      </c>
      <c r="O19" s="1">
        <v>0.38125000000000003</v>
      </c>
      <c r="P19" s="1">
        <v>0.38263888888888892</v>
      </c>
      <c r="Q19" s="1">
        <v>0.38472222222222219</v>
      </c>
      <c r="R19" s="1">
        <v>0.38611111111111113</v>
      </c>
      <c r="S19" s="1">
        <v>0.38819444444444445</v>
      </c>
      <c r="T19" s="5"/>
    </row>
    <row r="20" spans="1:21" x14ac:dyDescent="0.2">
      <c r="A20" t="s">
        <v>8</v>
      </c>
      <c r="B20">
        <v>0</v>
      </c>
      <c r="C20" t="s">
        <v>85</v>
      </c>
      <c r="D20" t="s">
        <v>88</v>
      </c>
      <c r="E20">
        <v>1</v>
      </c>
      <c r="F20">
        <v>1</v>
      </c>
      <c r="G20" s="1">
        <v>0.37916666666666665</v>
      </c>
      <c r="H20" s="1">
        <v>0.37986111111111115</v>
      </c>
      <c r="I20" s="1">
        <v>0.38055555555555554</v>
      </c>
      <c r="J20" s="1">
        <v>0.38194444444444442</v>
      </c>
      <c r="K20" s="1">
        <v>0.38541666666666669</v>
      </c>
      <c r="L20" s="1">
        <v>0.38611111111111113</v>
      </c>
      <c r="M20" s="1">
        <v>0.38819444444444445</v>
      </c>
      <c r="N20" s="1">
        <v>0.38958333333333334</v>
      </c>
      <c r="O20" s="1">
        <v>0.39097222222222222</v>
      </c>
      <c r="P20" s="1">
        <v>0.3923611111111111</v>
      </c>
      <c r="Q20" s="1">
        <v>0.39444444444444443</v>
      </c>
      <c r="R20" s="1">
        <v>0.39583333333333331</v>
      </c>
      <c r="S20" s="1">
        <v>0.3979166666666667</v>
      </c>
      <c r="T20" s="5"/>
    </row>
    <row r="21" spans="1:21" x14ac:dyDescent="0.2">
      <c r="A21" t="s">
        <v>8</v>
      </c>
      <c r="B21">
        <v>0</v>
      </c>
      <c r="C21" t="s">
        <v>85</v>
      </c>
      <c r="D21" t="s">
        <v>88</v>
      </c>
      <c r="E21">
        <v>1</v>
      </c>
      <c r="F21">
        <v>1</v>
      </c>
      <c r="G21" s="1">
        <v>0.38819444444444445</v>
      </c>
      <c r="H21" s="1">
        <v>0.3888888888888889</v>
      </c>
      <c r="I21" s="1">
        <v>0.38958333333333334</v>
      </c>
      <c r="J21" s="1">
        <v>0.39097222222222222</v>
      </c>
      <c r="K21" s="1">
        <v>0.39444444444444443</v>
      </c>
      <c r="L21" s="1">
        <v>0.39513888888888887</v>
      </c>
      <c r="M21" s="1">
        <v>0.3972222222222222</v>
      </c>
      <c r="N21" s="1">
        <v>0.39861111111111108</v>
      </c>
      <c r="O21" s="1">
        <v>0.39999999999999997</v>
      </c>
      <c r="P21" s="1">
        <v>0.40138888888888885</v>
      </c>
      <c r="Q21" s="1">
        <v>0.40347222222222223</v>
      </c>
      <c r="R21" s="1">
        <v>0.40486111111111112</v>
      </c>
      <c r="S21" s="1">
        <v>0.4069444444444445</v>
      </c>
      <c r="T21" s="5"/>
    </row>
    <row r="22" spans="1:21" x14ac:dyDescent="0.2">
      <c r="A22" t="s">
        <v>8</v>
      </c>
      <c r="B22">
        <v>0</v>
      </c>
      <c r="C22" t="s">
        <v>85</v>
      </c>
      <c r="D22" t="s">
        <v>88</v>
      </c>
      <c r="E22">
        <v>1</v>
      </c>
      <c r="F22">
        <v>1</v>
      </c>
      <c r="G22" s="1">
        <v>0.39444444444444443</v>
      </c>
      <c r="H22" s="1">
        <v>0.39513888888888887</v>
      </c>
      <c r="I22" s="1">
        <v>0.39583333333333331</v>
      </c>
      <c r="J22" s="1">
        <v>0.3972222222222222</v>
      </c>
      <c r="K22" s="1">
        <v>0.40069444444444446</v>
      </c>
      <c r="L22" s="1">
        <v>0.40138888888888885</v>
      </c>
      <c r="M22" s="1">
        <v>0.40347222222222223</v>
      </c>
      <c r="N22" s="1">
        <v>0.40486111111111112</v>
      </c>
      <c r="O22" s="1">
        <v>0.40625</v>
      </c>
      <c r="P22" s="1">
        <v>0.40763888888888888</v>
      </c>
      <c r="Q22" s="1">
        <v>0.40972222222222227</v>
      </c>
      <c r="R22" s="1">
        <v>0.41111111111111115</v>
      </c>
      <c r="S22" s="1">
        <v>0.41319444444444442</v>
      </c>
      <c r="T22" s="5"/>
    </row>
    <row r="23" spans="1:21" x14ac:dyDescent="0.2">
      <c r="A23" t="s">
        <v>8</v>
      </c>
      <c r="B23">
        <v>0</v>
      </c>
      <c r="C23" t="s">
        <v>85</v>
      </c>
      <c r="D23" t="s">
        <v>88</v>
      </c>
      <c r="E23">
        <v>1</v>
      </c>
      <c r="F23">
        <v>1</v>
      </c>
      <c r="G23" s="1">
        <v>0.40208333333333335</v>
      </c>
      <c r="H23" s="1">
        <v>0.40277777777777773</v>
      </c>
      <c r="I23" s="1">
        <v>0.40347222222222223</v>
      </c>
      <c r="J23" s="1">
        <v>0.40486111111111112</v>
      </c>
      <c r="K23" s="1">
        <v>0.40833333333333338</v>
      </c>
      <c r="L23" s="1">
        <v>0.40902777777777777</v>
      </c>
      <c r="M23" s="1">
        <v>0.41111111111111115</v>
      </c>
      <c r="N23" s="1">
        <v>0.41250000000000003</v>
      </c>
      <c r="O23" s="1">
        <v>0.41388888888888892</v>
      </c>
      <c r="P23" s="1">
        <v>0.4152777777777778</v>
      </c>
      <c r="Q23" s="1">
        <v>0.41736111111111113</v>
      </c>
      <c r="R23" s="1">
        <v>0.41875000000000001</v>
      </c>
      <c r="S23" s="1">
        <v>0.42083333333333334</v>
      </c>
      <c r="T23" s="5"/>
    </row>
    <row r="24" spans="1:21" x14ac:dyDescent="0.2">
      <c r="A24" t="s">
        <v>8</v>
      </c>
      <c r="B24">
        <v>0</v>
      </c>
      <c r="C24" t="s">
        <v>85</v>
      </c>
      <c r="D24" t="s">
        <v>88</v>
      </c>
      <c r="E24">
        <v>1</v>
      </c>
      <c r="F24">
        <v>1</v>
      </c>
      <c r="G24" s="1">
        <v>0.40972222222222227</v>
      </c>
      <c r="H24" s="1">
        <v>0.41041666666666665</v>
      </c>
      <c r="I24" s="1">
        <v>0.41111111111111115</v>
      </c>
      <c r="J24" s="1">
        <v>0.41250000000000003</v>
      </c>
      <c r="K24" s="1">
        <v>0.41597222222222219</v>
      </c>
      <c r="L24" s="1">
        <v>0.41666666666666669</v>
      </c>
      <c r="M24" s="1">
        <v>0.41875000000000001</v>
      </c>
      <c r="N24" s="1">
        <v>0.4201388888888889</v>
      </c>
      <c r="O24" s="1">
        <v>0.42152777777777778</v>
      </c>
      <c r="P24" s="1">
        <v>0.42291666666666666</v>
      </c>
      <c r="Q24" s="1">
        <v>0.42499999999999999</v>
      </c>
      <c r="R24" s="1">
        <v>0.42638888888888887</v>
      </c>
      <c r="S24" s="1">
        <v>0.4284722222222222</v>
      </c>
      <c r="T24" s="5">
        <f>TIME(0,15,0)</f>
        <v>1.0416666666666666E-2</v>
      </c>
      <c r="U24" s="3">
        <v>0.55555555555555558</v>
      </c>
    </row>
    <row r="25" spans="1:21" x14ac:dyDescent="0.2">
      <c r="A25" t="s">
        <v>8</v>
      </c>
      <c r="B25">
        <v>0</v>
      </c>
      <c r="C25" t="s">
        <v>85</v>
      </c>
      <c r="D25" t="s">
        <v>88</v>
      </c>
      <c r="E25">
        <v>1</v>
      </c>
      <c r="F25">
        <v>1</v>
      </c>
      <c r="G25" s="1">
        <v>0.56527777777777777</v>
      </c>
      <c r="H25" s="1">
        <v>0.56597222222222221</v>
      </c>
      <c r="I25" s="1">
        <v>0.56666666666666665</v>
      </c>
      <c r="J25" s="1">
        <v>0.56805555555555554</v>
      </c>
      <c r="K25" s="1">
        <v>0.57152777777777775</v>
      </c>
      <c r="L25" s="1">
        <v>0.57222222222222219</v>
      </c>
      <c r="M25" s="1">
        <v>0.57430555555555551</v>
      </c>
      <c r="N25" s="1">
        <v>0.5756944444444444</v>
      </c>
      <c r="O25" s="1">
        <v>0.57708333333333328</v>
      </c>
      <c r="P25" s="1">
        <v>0.57847222222222217</v>
      </c>
      <c r="Q25" s="1">
        <v>0.5805555555555556</v>
      </c>
      <c r="R25" s="1">
        <v>0.58194444444444449</v>
      </c>
      <c r="S25" s="1">
        <v>0.58402777777777781</v>
      </c>
      <c r="T25" s="5"/>
    </row>
    <row r="26" spans="1:21" x14ac:dyDescent="0.2">
      <c r="A26" t="s">
        <v>8</v>
      </c>
      <c r="B26">
        <v>0</v>
      </c>
      <c r="C26" t="s">
        <v>85</v>
      </c>
      <c r="D26" t="s">
        <v>88</v>
      </c>
      <c r="E26">
        <v>1</v>
      </c>
      <c r="F26">
        <v>1</v>
      </c>
      <c r="G26" s="1">
        <v>0.57638888888888895</v>
      </c>
      <c r="H26" s="1">
        <v>0.57708333333333328</v>
      </c>
      <c r="I26" s="1">
        <v>0.57777777777777783</v>
      </c>
      <c r="J26" s="1">
        <v>0.57916666666666672</v>
      </c>
      <c r="K26" s="1">
        <v>0.58263888888888882</v>
      </c>
      <c r="L26" s="1">
        <v>0.58333333333333337</v>
      </c>
      <c r="M26" s="1">
        <v>0.5854166666666667</v>
      </c>
      <c r="N26" s="1">
        <v>0.58680555555555558</v>
      </c>
      <c r="O26" s="1">
        <v>0.58819444444444446</v>
      </c>
      <c r="P26" s="1">
        <v>0.58958333333333335</v>
      </c>
      <c r="Q26" s="1">
        <v>0.59166666666666667</v>
      </c>
      <c r="R26" s="1">
        <v>0.59305555555555556</v>
      </c>
      <c r="S26" s="1">
        <v>0.59513888888888888</v>
      </c>
      <c r="T26" s="5"/>
    </row>
    <row r="27" spans="1:21" x14ac:dyDescent="0.2">
      <c r="A27" t="s">
        <v>8</v>
      </c>
      <c r="B27">
        <v>0</v>
      </c>
      <c r="C27" t="s">
        <v>85</v>
      </c>
      <c r="D27" t="s">
        <v>88</v>
      </c>
      <c r="E27">
        <v>1</v>
      </c>
      <c r="F27">
        <v>1</v>
      </c>
      <c r="G27" s="1">
        <v>0.58611111111111114</v>
      </c>
      <c r="H27" s="1">
        <v>0.58680555555555558</v>
      </c>
      <c r="I27" s="1">
        <v>0.58750000000000002</v>
      </c>
      <c r="J27" s="1">
        <v>0.58888888888888891</v>
      </c>
      <c r="K27" s="1">
        <v>0.59236111111111112</v>
      </c>
      <c r="L27" s="1">
        <v>0.59305555555555556</v>
      </c>
      <c r="M27" s="1">
        <v>0.59513888888888888</v>
      </c>
      <c r="N27" s="1">
        <v>0.59652777777777777</v>
      </c>
      <c r="O27" s="1">
        <v>0.59791666666666665</v>
      </c>
      <c r="P27" s="1">
        <v>0.59930555555555554</v>
      </c>
      <c r="Q27" s="1">
        <v>0.60138888888888886</v>
      </c>
      <c r="R27" s="1">
        <v>0.60277777777777775</v>
      </c>
      <c r="S27" s="1">
        <v>0.60486111111111118</v>
      </c>
      <c r="T27" s="5"/>
    </row>
    <row r="28" spans="1:21" x14ac:dyDescent="0.2">
      <c r="A28" t="s">
        <v>8</v>
      </c>
      <c r="B28">
        <v>0</v>
      </c>
      <c r="C28" t="s">
        <v>85</v>
      </c>
      <c r="D28" t="s">
        <v>88</v>
      </c>
      <c r="E28">
        <v>1</v>
      </c>
      <c r="F28">
        <v>1</v>
      </c>
      <c r="G28" s="1">
        <v>0.59722222222222221</v>
      </c>
      <c r="H28" s="1">
        <v>0.59791666666666665</v>
      </c>
      <c r="I28" s="1">
        <v>0.59861111111111109</v>
      </c>
      <c r="J28" s="1">
        <v>0.6</v>
      </c>
      <c r="K28" s="1">
        <v>0.60347222222222219</v>
      </c>
      <c r="L28" s="1">
        <v>0.60416666666666663</v>
      </c>
      <c r="M28" s="1">
        <v>0.60625000000000007</v>
      </c>
      <c r="N28" s="1">
        <v>0.60763888888888895</v>
      </c>
      <c r="O28" s="1">
        <v>0.60902777777777783</v>
      </c>
      <c r="P28" s="1">
        <v>0.61041666666666672</v>
      </c>
      <c r="Q28" s="1">
        <v>0.61249999999999993</v>
      </c>
      <c r="R28" s="1">
        <v>0.61388888888888882</v>
      </c>
      <c r="S28" s="1">
        <v>0.61597222222222225</v>
      </c>
      <c r="T28" s="5"/>
    </row>
    <row r="29" spans="1:21" x14ac:dyDescent="0.2">
      <c r="A29" t="s">
        <v>8</v>
      </c>
      <c r="B29">
        <v>0</v>
      </c>
      <c r="C29" t="s">
        <v>85</v>
      </c>
      <c r="D29" t="s">
        <v>88</v>
      </c>
      <c r="E29">
        <v>1</v>
      </c>
      <c r="F29">
        <v>1</v>
      </c>
      <c r="G29" s="1">
        <v>0.60763888888888895</v>
      </c>
      <c r="H29" s="1">
        <v>0.60833333333333328</v>
      </c>
      <c r="I29" s="1">
        <v>0.60902777777777783</v>
      </c>
      <c r="J29" s="1">
        <v>0.61041666666666672</v>
      </c>
      <c r="K29" s="1">
        <v>0.61388888888888882</v>
      </c>
      <c r="L29" s="1">
        <v>0.61458333333333337</v>
      </c>
      <c r="M29" s="1">
        <v>0.6166666666666667</v>
      </c>
      <c r="N29" s="1">
        <v>0.61805555555555558</v>
      </c>
      <c r="O29" s="1">
        <v>0.61944444444444446</v>
      </c>
      <c r="P29" s="1">
        <v>0.62083333333333335</v>
      </c>
      <c r="Q29" s="1">
        <v>0.62291666666666667</v>
      </c>
      <c r="R29" s="1">
        <v>0.62430555555555556</v>
      </c>
      <c r="S29" s="1">
        <v>0.62638888888888888</v>
      </c>
      <c r="T29" s="5"/>
    </row>
    <row r="30" spans="1:21" x14ac:dyDescent="0.2">
      <c r="A30" t="s">
        <v>8</v>
      </c>
      <c r="B30">
        <v>0</v>
      </c>
      <c r="C30" t="s">
        <v>85</v>
      </c>
      <c r="D30" t="s">
        <v>88</v>
      </c>
      <c r="E30">
        <v>1</v>
      </c>
      <c r="F30">
        <v>1</v>
      </c>
      <c r="G30" s="1">
        <v>0.61527777777777781</v>
      </c>
      <c r="H30" s="1">
        <v>0.61597222222222225</v>
      </c>
      <c r="I30" s="1">
        <v>0.6166666666666667</v>
      </c>
      <c r="J30" s="1">
        <v>0.61805555555555558</v>
      </c>
      <c r="K30" s="1">
        <v>0.62152777777777779</v>
      </c>
      <c r="L30" s="1">
        <v>0.62222222222222223</v>
      </c>
      <c r="M30" s="1">
        <v>0.62430555555555556</v>
      </c>
      <c r="N30" s="1">
        <v>0.62569444444444444</v>
      </c>
      <c r="O30" s="1">
        <v>0.62708333333333333</v>
      </c>
      <c r="P30" s="1">
        <v>0.62847222222222221</v>
      </c>
      <c r="Q30" s="1">
        <v>0.63055555555555554</v>
      </c>
      <c r="R30" s="1">
        <v>0.63194444444444442</v>
      </c>
      <c r="S30" s="1">
        <v>0.63402777777777775</v>
      </c>
      <c r="T30" s="5"/>
    </row>
    <row r="31" spans="1:21" x14ac:dyDescent="0.2">
      <c r="A31" t="s">
        <v>8</v>
      </c>
      <c r="B31">
        <v>0</v>
      </c>
      <c r="C31" t="s">
        <v>85</v>
      </c>
      <c r="D31" t="s">
        <v>88</v>
      </c>
      <c r="E31">
        <v>1</v>
      </c>
      <c r="F31">
        <v>1</v>
      </c>
      <c r="G31" s="1">
        <v>0.62361111111111112</v>
      </c>
      <c r="H31" s="1">
        <v>0.62430555555555556</v>
      </c>
      <c r="I31" s="1">
        <v>0.625</v>
      </c>
      <c r="J31" s="1">
        <v>0.62638888888888888</v>
      </c>
      <c r="K31" s="1">
        <v>0.62986111111111109</v>
      </c>
      <c r="L31" s="1">
        <v>0.63055555555555554</v>
      </c>
      <c r="M31" s="1">
        <v>0.63263888888888886</v>
      </c>
      <c r="N31" s="1">
        <v>0.63402777777777775</v>
      </c>
      <c r="O31" s="1">
        <v>0.63541666666666663</v>
      </c>
      <c r="P31" s="1">
        <v>0.63680555555555551</v>
      </c>
      <c r="Q31" s="1">
        <v>0.63888888888888895</v>
      </c>
      <c r="R31" s="1">
        <v>0.64027777777777783</v>
      </c>
      <c r="S31" s="1">
        <v>0.64236111111111105</v>
      </c>
      <c r="T31" s="5"/>
    </row>
    <row r="32" spans="1:21" x14ac:dyDescent="0.2">
      <c r="A32" t="s">
        <v>8</v>
      </c>
      <c r="B32">
        <v>0</v>
      </c>
      <c r="C32" t="s">
        <v>85</v>
      </c>
      <c r="D32" t="s">
        <v>88</v>
      </c>
      <c r="E32">
        <v>1</v>
      </c>
      <c r="F32">
        <v>1</v>
      </c>
      <c r="G32" s="1">
        <v>0.63194444444444442</v>
      </c>
      <c r="H32" s="1">
        <v>0.63263888888888886</v>
      </c>
      <c r="I32" s="1">
        <v>0.6333333333333333</v>
      </c>
      <c r="J32" s="1">
        <v>0.63472222222222219</v>
      </c>
      <c r="K32" s="1">
        <v>0.6381944444444444</v>
      </c>
      <c r="L32" s="1">
        <v>0.63888888888888895</v>
      </c>
      <c r="M32" s="1">
        <v>0.64097222222222217</v>
      </c>
      <c r="N32" s="1">
        <v>0.64236111111111105</v>
      </c>
      <c r="O32" s="1">
        <v>0.64374999999999993</v>
      </c>
      <c r="P32" s="1">
        <v>0.64513888888888882</v>
      </c>
      <c r="Q32" s="1">
        <v>0.64722222222222225</v>
      </c>
      <c r="R32" s="1">
        <v>0.64861111111111114</v>
      </c>
      <c r="S32" s="1">
        <v>0.65069444444444446</v>
      </c>
      <c r="T32" s="5"/>
    </row>
    <row r="33" spans="1:21" x14ac:dyDescent="0.2">
      <c r="A33" t="s">
        <v>8</v>
      </c>
      <c r="B33">
        <v>0</v>
      </c>
      <c r="C33" t="s">
        <v>85</v>
      </c>
      <c r="D33" t="s">
        <v>88</v>
      </c>
      <c r="E33">
        <v>1</v>
      </c>
      <c r="F33">
        <v>1</v>
      </c>
      <c r="G33" s="1">
        <v>0.64027777777777783</v>
      </c>
      <c r="H33" s="1">
        <v>0.64097222222222217</v>
      </c>
      <c r="I33" s="1">
        <v>0.64166666666666672</v>
      </c>
      <c r="J33" s="1">
        <v>0.6430555555555556</v>
      </c>
      <c r="K33" s="1">
        <v>0.64652777777777781</v>
      </c>
      <c r="L33" s="1">
        <v>0.64722222222222225</v>
      </c>
      <c r="M33" s="1">
        <v>0.64930555555555558</v>
      </c>
      <c r="N33" s="1">
        <v>0.65069444444444446</v>
      </c>
      <c r="O33" s="1">
        <v>0.65208333333333335</v>
      </c>
      <c r="P33" s="1">
        <v>0.65347222222222223</v>
      </c>
      <c r="Q33" s="1">
        <v>0.65555555555555556</v>
      </c>
      <c r="R33" s="1">
        <v>0.65694444444444444</v>
      </c>
      <c r="S33" s="1">
        <v>0.65902777777777777</v>
      </c>
      <c r="T33" s="5"/>
    </row>
    <row r="34" spans="1:21" x14ac:dyDescent="0.2">
      <c r="A34" t="s">
        <v>8</v>
      </c>
      <c r="B34">
        <v>0</v>
      </c>
      <c r="C34" t="s">
        <v>85</v>
      </c>
      <c r="D34" t="s">
        <v>88</v>
      </c>
      <c r="E34">
        <v>1</v>
      </c>
      <c r="F34">
        <v>1</v>
      </c>
      <c r="G34" s="1">
        <v>0.64861111111111114</v>
      </c>
      <c r="H34" s="1">
        <v>0.64930555555555558</v>
      </c>
      <c r="I34" s="1">
        <v>0.65</v>
      </c>
      <c r="J34" s="1">
        <v>0.65138888888888891</v>
      </c>
      <c r="K34" s="1">
        <v>0.65486111111111112</v>
      </c>
      <c r="L34" s="1">
        <v>0.65555555555555556</v>
      </c>
      <c r="M34" s="1">
        <v>0.65763888888888888</v>
      </c>
      <c r="N34" s="1">
        <v>0.65902777777777777</v>
      </c>
      <c r="O34" s="1">
        <v>0.66041666666666665</v>
      </c>
      <c r="P34" s="1">
        <v>0.66180555555555554</v>
      </c>
      <c r="Q34" s="1">
        <v>0.66388888888888886</v>
      </c>
      <c r="R34" s="1">
        <v>0.66527777777777775</v>
      </c>
      <c r="S34" s="1">
        <v>0.66736111111111107</v>
      </c>
      <c r="T34" s="5"/>
    </row>
    <row r="35" spans="1:21" x14ac:dyDescent="0.2">
      <c r="A35" t="s">
        <v>8</v>
      </c>
      <c r="B35">
        <v>0</v>
      </c>
      <c r="C35" t="s">
        <v>85</v>
      </c>
      <c r="D35" t="s">
        <v>88</v>
      </c>
      <c r="E35">
        <v>1</v>
      </c>
      <c r="F35">
        <v>1</v>
      </c>
      <c r="G35" s="1">
        <v>0.65555555555555556</v>
      </c>
      <c r="H35" s="1">
        <v>0.65625</v>
      </c>
      <c r="I35" s="1">
        <v>0.65694444444444444</v>
      </c>
      <c r="J35" s="1">
        <v>0.65833333333333333</v>
      </c>
      <c r="K35" s="1">
        <v>0.66180555555555554</v>
      </c>
      <c r="L35" s="1">
        <v>0.66249999999999998</v>
      </c>
      <c r="M35" s="1">
        <v>0.6645833333333333</v>
      </c>
      <c r="N35" s="1">
        <v>0.66597222222222219</v>
      </c>
      <c r="O35" s="1">
        <v>0.66736111111111107</v>
      </c>
      <c r="P35" s="1">
        <v>0.66875000000000007</v>
      </c>
      <c r="Q35" s="1">
        <v>0.67083333333333339</v>
      </c>
      <c r="R35" s="1">
        <v>0.67222222222222217</v>
      </c>
      <c r="S35" s="1">
        <v>0.6743055555555556</v>
      </c>
      <c r="T35" s="5"/>
    </row>
    <row r="36" spans="1:21" x14ac:dyDescent="0.2">
      <c r="A36" t="s">
        <v>8</v>
      </c>
      <c r="B36">
        <v>0</v>
      </c>
      <c r="C36" t="s">
        <v>85</v>
      </c>
      <c r="D36" t="s">
        <v>88</v>
      </c>
      <c r="E36">
        <v>1</v>
      </c>
      <c r="F36">
        <v>1</v>
      </c>
      <c r="G36" s="1">
        <v>0.66249999999999998</v>
      </c>
      <c r="H36" s="1">
        <v>0.66319444444444442</v>
      </c>
      <c r="I36" s="1">
        <v>0.66388888888888886</v>
      </c>
      <c r="J36" s="1">
        <v>0.66527777777777775</v>
      </c>
      <c r="K36" s="1">
        <v>0.66875000000000007</v>
      </c>
      <c r="L36" s="1">
        <v>0.6694444444444444</v>
      </c>
      <c r="M36" s="1">
        <v>0.67152777777777783</v>
      </c>
      <c r="N36" s="1">
        <v>0.67291666666666661</v>
      </c>
      <c r="O36" s="1">
        <v>0.6743055555555556</v>
      </c>
      <c r="P36" s="1">
        <v>0.67569444444444438</v>
      </c>
      <c r="Q36" s="1">
        <v>0.6777777777777777</v>
      </c>
      <c r="R36" s="1">
        <v>0.6791666666666667</v>
      </c>
      <c r="S36" s="1">
        <v>0.68125000000000002</v>
      </c>
      <c r="T36" s="5"/>
      <c r="U36" s="3"/>
    </row>
    <row r="37" spans="1:21" x14ac:dyDescent="0.2">
      <c r="A37" t="s">
        <v>8</v>
      </c>
      <c r="B37">
        <v>0</v>
      </c>
      <c r="C37" t="s">
        <v>85</v>
      </c>
      <c r="D37" t="s">
        <v>88</v>
      </c>
      <c r="E37">
        <v>1</v>
      </c>
      <c r="F37">
        <v>1</v>
      </c>
      <c r="G37" s="1">
        <v>0.66805555555555562</v>
      </c>
      <c r="H37" s="1">
        <v>0.66875000000000007</v>
      </c>
      <c r="I37" s="1">
        <v>0.6694444444444444</v>
      </c>
      <c r="J37" s="1">
        <v>0.67083333333333339</v>
      </c>
      <c r="K37" s="1">
        <v>0.6743055555555556</v>
      </c>
      <c r="L37" s="1">
        <v>0.67499999999999993</v>
      </c>
      <c r="M37" s="1">
        <v>0.67708333333333337</v>
      </c>
      <c r="N37" s="1">
        <v>0.67847222222222225</v>
      </c>
      <c r="O37" s="1">
        <v>0.67986111111111114</v>
      </c>
      <c r="P37" s="1">
        <v>0.68125000000000002</v>
      </c>
      <c r="Q37" s="1">
        <v>0.68333333333333324</v>
      </c>
      <c r="R37" s="1">
        <v>0.68472222222222223</v>
      </c>
      <c r="S37" s="1">
        <v>0.68680555555555556</v>
      </c>
      <c r="T37" s="5"/>
    </row>
    <row r="38" spans="1:21" x14ac:dyDescent="0.2">
      <c r="A38" t="s">
        <v>8</v>
      </c>
      <c r="B38">
        <v>0</v>
      </c>
      <c r="C38" t="s">
        <v>85</v>
      </c>
      <c r="D38" t="s">
        <v>88</v>
      </c>
      <c r="E38">
        <v>1</v>
      </c>
      <c r="F38">
        <v>1</v>
      </c>
      <c r="G38" s="1">
        <v>0.6743055555555556</v>
      </c>
      <c r="H38" s="1">
        <v>0.67499999999999993</v>
      </c>
      <c r="I38" s="1">
        <v>0.67569444444444438</v>
      </c>
      <c r="J38" s="1">
        <v>0.67708333333333337</v>
      </c>
      <c r="K38" s="1">
        <v>0.68055555555555547</v>
      </c>
      <c r="L38" s="1">
        <v>0.68125000000000002</v>
      </c>
      <c r="M38" s="1">
        <v>0.68333333333333324</v>
      </c>
      <c r="N38" s="1">
        <v>0.68472222222222223</v>
      </c>
      <c r="O38" s="1">
        <v>0.68611111111111101</v>
      </c>
      <c r="P38" s="1">
        <v>0.6875</v>
      </c>
      <c r="Q38" s="1">
        <v>0.68958333333333333</v>
      </c>
      <c r="R38" s="1">
        <v>0.69097222222222221</v>
      </c>
      <c r="S38" s="1">
        <v>0.69305555555555554</v>
      </c>
      <c r="T38" s="5"/>
    </row>
    <row r="39" spans="1:21" x14ac:dyDescent="0.2">
      <c r="A39" t="s">
        <v>8</v>
      </c>
      <c r="B39">
        <v>0</v>
      </c>
      <c r="C39" t="s">
        <v>85</v>
      </c>
      <c r="D39" t="s">
        <v>88</v>
      </c>
      <c r="E39">
        <v>1</v>
      </c>
      <c r="F39">
        <v>1</v>
      </c>
      <c r="G39" s="1">
        <v>0.68125000000000002</v>
      </c>
      <c r="H39" s="1">
        <v>0.68194444444444446</v>
      </c>
      <c r="I39" s="1">
        <v>0.68263888888888891</v>
      </c>
      <c r="J39" s="1">
        <v>0.68402777777777779</v>
      </c>
      <c r="K39" s="1">
        <v>0.6875</v>
      </c>
      <c r="L39" s="1">
        <v>0.68819444444444444</v>
      </c>
      <c r="M39" s="1">
        <v>0.69027777777777777</v>
      </c>
      <c r="N39" s="1">
        <v>0.69166666666666676</v>
      </c>
      <c r="O39" s="1">
        <v>0.69305555555555554</v>
      </c>
      <c r="P39" s="1">
        <v>0.69444444444444453</v>
      </c>
      <c r="Q39" s="1">
        <v>0.69652777777777775</v>
      </c>
      <c r="R39" s="1">
        <v>0.69791666666666663</v>
      </c>
      <c r="S39" s="1">
        <v>0.70000000000000007</v>
      </c>
      <c r="T39" s="5"/>
    </row>
    <row r="40" spans="1:21" x14ac:dyDescent="0.2">
      <c r="A40" t="s">
        <v>8</v>
      </c>
      <c r="B40">
        <v>0</v>
      </c>
      <c r="C40" t="s">
        <v>85</v>
      </c>
      <c r="D40" t="s">
        <v>88</v>
      </c>
      <c r="E40">
        <v>1</v>
      </c>
      <c r="F40">
        <v>1</v>
      </c>
      <c r="G40" s="1">
        <v>0.68402777777777779</v>
      </c>
      <c r="H40" s="1">
        <v>0.68472222222222223</v>
      </c>
      <c r="I40" s="1">
        <v>0.68541666666666667</v>
      </c>
      <c r="J40" s="1">
        <v>0.68680555555555556</v>
      </c>
      <c r="K40" s="1">
        <v>0.69027777777777777</v>
      </c>
      <c r="L40" s="1">
        <v>0.69097222222222221</v>
      </c>
      <c r="M40" s="1">
        <v>0.69305555555555554</v>
      </c>
      <c r="N40" s="1">
        <v>0.69444444444444453</v>
      </c>
      <c r="O40" s="1">
        <v>0.6958333333333333</v>
      </c>
      <c r="P40" s="1">
        <v>0.6972222222222223</v>
      </c>
      <c r="Q40" s="1">
        <v>0.69930555555555562</v>
      </c>
      <c r="R40" s="1">
        <v>0.7006944444444444</v>
      </c>
      <c r="S40" s="1">
        <v>0.70277777777777783</v>
      </c>
      <c r="T40" s="5"/>
    </row>
    <row r="41" spans="1:21" x14ac:dyDescent="0.2">
      <c r="A41" t="s">
        <v>8</v>
      </c>
      <c r="B41">
        <v>0</v>
      </c>
      <c r="C41" t="s">
        <v>85</v>
      </c>
      <c r="D41" t="s">
        <v>88</v>
      </c>
      <c r="E41">
        <v>1</v>
      </c>
      <c r="F41">
        <v>1</v>
      </c>
      <c r="G41" s="1">
        <v>0.68888888888888899</v>
      </c>
      <c r="H41" s="1">
        <v>0.68958333333333333</v>
      </c>
      <c r="I41" s="1">
        <v>0.69027777777777777</v>
      </c>
      <c r="J41" s="1">
        <v>0.69166666666666676</v>
      </c>
      <c r="K41" s="1">
        <v>0.69513888888888886</v>
      </c>
      <c r="L41" s="1">
        <v>0.6958333333333333</v>
      </c>
      <c r="M41" s="1">
        <v>0.69791666666666663</v>
      </c>
      <c r="N41" s="1">
        <v>0.69930555555555562</v>
      </c>
      <c r="O41" s="1">
        <v>0.7006944444444444</v>
      </c>
      <c r="P41" s="1">
        <v>0.70208333333333339</v>
      </c>
      <c r="Q41" s="1">
        <v>0.70416666666666661</v>
      </c>
      <c r="R41" s="1">
        <v>0.7055555555555556</v>
      </c>
      <c r="S41" s="1">
        <v>0.70763888888888893</v>
      </c>
      <c r="T41" s="5"/>
    </row>
    <row r="42" spans="1:21" x14ac:dyDescent="0.2">
      <c r="A42" t="s">
        <v>8</v>
      </c>
      <c r="B42">
        <v>0</v>
      </c>
      <c r="C42" t="s">
        <v>85</v>
      </c>
      <c r="D42" t="s">
        <v>88</v>
      </c>
      <c r="E42">
        <v>1</v>
      </c>
      <c r="F42">
        <v>1</v>
      </c>
      <c r="G42" s="1">
        <v>0.69305555555555554</v>
      </c>
      <c r="H42" s="1">
        <v>0.69374999999999998</v>
      </c>
      <c r="I42" s="1">
        <v>0.69444444444444453</v>
      </c>
      <c r="J42" s="1">
        <v>0.6958333333333333</v>
      </c>
      <c r="K42" s="1">
        <v>0.69930555555555562</v>
      </c>
      <c r="L42" s="1">
        <v>0.70000000000000007</v>
      </c>
      <c r="M42" s="1">
        <v>0.70208333333333339</v>
      </c>
      <c r="N42" s="1">
        <v>0.70347222222222217</v>
      </c>
      <c r="O42" s="1">
        <v>0.70486111111111116</v>
      </c>
      <c r="P42" s="1">
        <v>0.70624999999999993</v>
      </c>
      <c r="Q42" s="1">
        <v>0.70833333333333337</v>
      </c>
      <c r="R42" s="1">
        <v>0.70972222222222225</v>
      </c>
      <c r="S42" s="1">
        <v>0.71180555555555547</v>
      </c>
      <c r="T42" s="5"/>
    </row>
    <row r="43" spans="1:21" x14ac:dyDescent="0.2">
      <c r="A43" t="s">
        <v>8</v>
      </c>
      <c r="B43">
        <v>0</v>
      </c>
      <c r="C43" t="s">
        <v>85</v>
      </c>
      <c r="D43" t="s">
        <v>88</v>
      </c>
      <c r="E43">
        <v>1</v>
      </c>
      <c r="F43">
        <v>1</v>
      </c>
      <c r="G43" s="1">
        <v>0.6972222222222223</v>
      </c>
      <c r="H43" s="1">
        <v>0.69791666666666663</v>
      </c>
      <c r="I43" s="1">
        <v>0.69861111111111107</v>
      </c>
      <c r="J43" s="1">
        <v>0.70000000000000007</v>
      </c>
      <c r="K43" s="1">
        <v>0.70347222222222217</v>
      </c>
      <c r="L43" s="1">
        <v>0.70416666666666661</v>
      </c>
      <c r="M43" s="1">
        <v>0.70624999999999993</v>
      </c>
      <c r="N43" s="1">
        <v>0.70763888888888893</v>
      </c>
      <c r="O43" s="1">
        <v>0.7090277777777777</v>
      </c>
      <c r="P43" s="1">
        <v>0.7104166666666667</v>
      </c>
      <c r="Q43" s="1">
        <v>0.71250000000000002</v>
      </c>
      <c r="R43" s="1">
        <v>0.71388888888888891</v>
      </c>
      <c r="S43" s="1">
        <v>0.71597222222222223</v>
      </c>
      <c r="T43" s="5"/>
    </row>
    <row r="44" spans="1:21" x14ac:dyDescent="0.2">
      <c r="A44" t="s">
        <v>8</v>
      </c>
      <c r="B44">
        <v>0</v>
      </c>
      <c r="C44" t="s">
        <v>85</v>
      </c>
      <c r="D44" t="s">
        <v>88</v>
      </c>
      <c r="E44">
        <v>1</v>
      </c>
      <c r="F44">
        <v>1</v>
      </c>
      <c r="G44" s="1">
        <v>0.70208333333333339</v>
      </c>
      <c r="H44" s="1">
        <v>0.70277777777777783</v>
      </c>
      <c r="I44" s="1">
        <v>0.70347222222222217</v>
      </c>
      <c r="J44" s="1">
        <v>0.70486111111111116</v>
      </c>
      <c r="K44" s="1">
        <v>0.70833333333333337</v>
      </c>
      <c r="L44" s="1">
        <v>0.7090277777777777</v>
      </c>
      <c r="M44" s="1">
        <v>0.71111111111111114</v>
      </c>
      <c r="N44" s="1">
        <v>0.71250000000000002</v>
      </c>
      <c r="O44" s="1">
        <v>0.71388888888888891</v>
      </c>
      <c r="P44" s="1">
        <v>0.71527777777777779</v>
      </c>
      <c r="Q44" s="1">
        <v>0.71736111111111101</v>
      </c>
      <c r="R44" s="1">
        <v>0.71875</v>
      </c>
      <c r="S44" s="1">
        <v>0.72083333333333333</v>
      </c>
      <c r="T44" s="5"/>
    </row>
    <row r="45" spans="1:21" x14ac:dyDescent="0.2">
      <c r="A45" t="s">
        <v>8</v>
      </c>
      <c r="B45">
        <v>0</v>
      </c>
      <c r="C45" t="s">
        <v>85</v>
      </c>
      <c r="D45" t="s">
        <v>88</v>
      </c>
      <c r="E45">
        <v>1</v>
      </c>
      <c r="F45">
        <v>1</v>
      </c>
      <c r="G45" s="1">
        <v>0.70694444444444438</v>
      </c>
      <c r="H45" s="1">
        <v>0.70763888888888893</v>
      </c>
      <c r="I45" s="1">
        <v>0.70833333333333337</v>
      </c>
      <c r="J45" s="1">
        <v>0.70972222222222225</v>
      </c>
      <c r="K45" s="1">
        <v>0.71319444444444446</v>
      </c>
      <c r="L45" s="1">
        <v>0.71388888888888891</v>
      </c>
      <c r="M45" s="1">
        <v>0.71597222222222223</v>
      </c>
      <c r="N45" s="1">
        <v>0.71736111111111101</v>
      </c>
      <c r="O45" s="1">
        <v>0.71875</v>
      </c>
      <c r="P45" s="1">
        <v>0.72013888888888899</v>
      </c>
      <c r="Q45" s="1">
        <v>0.72222222222222221</v>
      </c>
      <c r="R45" s="1">
        <v>0.72361111111111109</v>
      </c>
      <c r="S45" s="1">
        <v>0.72569444444444453</v>
      </c>
      <c r="T45" s="5"/>
    </row>
    <row r="46" spans="1:21" x14ac:dyDescent="0.2">
      <c r="A46" t="s">
        <v>8</v>
      </c>
      <c r="B46">
        <v>0</v>
      </c>
      <c r="C46" t="s">
        <v>85</v>
      </c>
      <c r="D46" t="s">
        <v>88</v>
      </c>
      <c r="E46">
        <v>1</v>
      </c>
      <c r="F46">
        <v>1</v>
      </c>
      <c r="G46" s="1">
        <v>0.71111111111111114</v>
      </c>
      <c r="H46" s="1">
        <v>0.71180555555555547</v>
      </c>
      <c r="I46" s="1">
        <v>0.71250000000000002</v>
      </c>
      <c r="J46" s="1">
        <v>0.71388888888888891</v>
      </c>
      <c r="K46" s="1">
        <v>0.71736111111111101</v>
      </c>
      <c r="L46" s="1">
        <v>0.71805555555555556</v>
      </c>
      <c r="M46" s="1">
        <v>0.72013888888888899</v>
      </c>
      <c r="N46" s="1">
        <v>0.72152777777777777</v>
      </c>
      <c r="O46" s="1">
        <v>0.72291666666666676</v>
      </c>
      <c r="P46" s="1">
        <v>0.72430555555555554</v>
      </c>
      <c r="Q46" s="1">
        <v>0.72638888888888886</v>
      </c>
      <c r="R46" s="1">
        <v>0.72777777777777775</v>
      </c>
      <c r="S46" s="1">
        <v>0.72986111111111107</v>
      </c>
      <c r="T46" s="5"/>
    </row>
    <row r="47" spans="1:21" x14ac:dyDescent="0.2">
      <c r="A47" t="s">
        <v>8</v>
      </c>
      <c r="B47">
        <v>0</v>
      </c>
      <c r="C47" t="s">
        <v>85</v>
      </c>
      <c r="D47" t="s">
        <v>88</v>
      </c>
      <c r="E47">
        <v>1</v>
      </c>
      <c r="F47">
        <v>1</v>
      </c>
      <c r="G47" s="1">
        <v>0.71527777777777779</v>
      </c>
      <c r="H47" s="1">
        <v>0.71597222222222223</v>
      </c>
      <c r="I47" s="1">
        <v>0.71666666666666667</v>
      </c>
      <c r="J47" s="1">
        <v>0.71805555555555556</v>
      </c>
      <c r="K47" s="1">
        <v>0.72152777777777777</v>
      </c>
      <c r="L47" s="1">
        <v>0.72222222222222221</v>
      </c>
      <c r="M47" s="1">
        <v>0.72430555555555554</v>
      </c>
      <c r="N47" s="1">
        <v>0.72569444444444453</v>
      </c>
      <c r="O47" s="1">
        <v>0.7270833333333333</v>
      </c>
      <c r="P47" s="1">
        <v>0.7284722222222223</v>
      </c>
      <c r="Q47" s="1">
        <v>0.73055555555555562</v>
      </c>
      <c r="R47" s="1">
        <v>0.7319444444444444</v>
      </c>
      <c r="S47" s="1">
        <v>0.73402777777777783</v>
      </c>
      <c r="T47" s="5"/>
    </row>
    <row r="48" spans="1:21" x14ac:dyDescent="0.2">
      <c r="A48" t="s">
        <v>8</v>
      </c>
      <c r="B48">
        <v>0</v>
      </c>
      <c r="C48" t="s">
        <v>85</v>
      </c>
      <c r="D48" t="s">
        <v>88</v>
      </c>
      <c r="E48">
        <v>1</v>
      </c>
      <c r="F48">
        <v>1</v>
      </c>
      <c r="G48" s="1">
        <v>0.72083333333333333</v>
      </c>
      <c r="H48" s="1">
        <v>0.72152777777777777</v>
      </c>
      <c r="I48" s="1">
        <v>0.72222222222222221</v>
      </c>
      <c r="J48" s="1">
        <v>0.72361111111111109</v>
      </c>
      <c r="K48" s="1">
        <v>0.7270833333333333</v>
      </c>
      <c r="L48" s="1">
        <v>0.72777777777777775</v>
      </c>
      <c r="M48" s="1">
        <v>0.72986111111111107</v>
      </c>
      <c r="N48" s="1">
        <v>0.73125000000000007</v>
      </c>
      <c r="O48" s="1">
        <v>0.73263888888888884</v>
      </c>
      <c r="P48" s="1">
        <v>0.73402777777777783</v>
      </c>
      <c r="Q48" s="1">
        <v>0.73611111111111116</v>
      </c>
      <c r="R48" s="1">
        <v>0.73749999999999993</v>
      </c>
      <c r="S48" s="1">
        <v>0.73958333333333337</v>
      </c>
      <c r="T48" s="5"/>
    </row>
    <row r="49" spans="1:21" x14ac:dyDescent="0.2">
      <c r="A49" t="s">
        <v>8</v>
      </c>
      <c r="B49">
        <v>0</v>
      </c>
      <c r="C49" t="s">
        <v>85</v>
      </c>
      <c r="D49" t="s">
        <v>88</v>
      </c>
      <c r="E49">
        <v>1</v>
      </c>
      <c r="F49">
        <v>1</v>
      </c>
      <c r="G49" s="1">
        <v>0.72499999999999998</v>
      </c>
      <c r="H49" s="1">
        <v>0.72569444444444453</v>
      </c>
      <c r="I49" s="1">
        <v>0.72638888888888886</v>
      </c>
      <c r="J49" s="1">
        <v>0.72777777777777775</v>
      </c>
      <c r="K49" s="1">
        <v>0.73125000000000007</v>
      </c>
      <c r="L49" s="1">
        <v>0.7319444444444444</v>
      </c>
      <c r="M49" s="1">
        <v>0.73402777777777783</v>
      </c>
      <c r="N49" s="1">
        <v>0.73541666666666661</v>
      </c>
      <c r="O49" s="1">
        <v>0.7368055555555556</v>
      </c>
      <c r="P49" s="1">
        <v>0.73819444444444438</v>
      </c>
      <c r="Q49" s="1">
        <v>0.7402777777777777</v>
      </c>
      <c r="R49" s="1">
        <v>0.7416666666666667</v>
      </c>
      <c r="S49" s="1">
        <v>0.74375000000000002</v>
      </c>
      <c r="T49" s="5"/>
    </row>
    <row r="50" spans="1:21" x14ac:dyDescent="0.2">
      <c r="A50" t="s">
        <v>8</v>
      </c>
      <c r="B50">
        <v>0</v>
      </c>
      <c r="C50" t="s">
        <v>85</v>
      </c>
      <c r="D50" t="s">
        <v>88</v>
      </c>
      <c r="E50">
        <v>1</v>
      </c>
      <c r="F50">
        <v>1</v>
      </c>
      <c r="G50" s="1">
        <v>0.72986111111111107</v>
      </c>
      <c r="H50" s="1">
        <v>0.73055555555555562</v>
      </c>
      <c r="I50" s="1">
        <v>0.73125000000000007</v>
      </c>
      <c r="J50" s="1">
        <v>0.73263888888888884</v>
      </c>
      <c r="K50" s="1">
        <v>0.73611111111111116</v>
      </c>
      <c r="L50" s="1">
        <v>0.7368055555555556</v>
      </c>
      <c r="M50" s="1">
        <v>0.73888888888888893</v>
      </c>
      <c r="N50" s="1">
        <v>0.7402777777777777</v>
      </c>
      <c r="O50" s="1">
        <v>0.7416666666666667</v>
      </c>
      <c r="P50" s="1">
        <v>0.74305555555555547</v>
      </c>
      <c r="Q50" s="1">
        <v>0.74513888888888891</v>
      </c>
      <c r="R50" s="1">
        <v>0.74652777777777779</v>
      </c>
      <c r="S50" s="1">
        <v>0.74861111111111101</v>
      </c>
      <c r="T50" s="5"/>
    </row>
    <row r="51" spans="1:21" x14ac:dyDescent="0.2">
      <c r="A51" t="s">
        <v>8</v>
      </c>
      <c r="B51">
        <v>0</v>
      </c>
      <c r="C51" t="s">
        <v>85</v>
      </c>
      <c r="D51" t="s">
        <v>88</v>
      </c>
      <c r="E51">
        <v>1</v>
      </c>
      <c r="F51">
        <v>1</v>
      </c>
      <c r="G51" s="1">
        <v>0.73402777777777783</v>
      </c>
      <c r="H51" s="1">
        <v>0.73472222222222217</v>
      </c>
      <c r="I51" s="1">
        <v>0.73541666666666661</v>
      </c>
      <c r="J51" s="1">
        <v>0.7368055555555556</v>
      </c>
      <c r="K51" s="1">
        <v>0.7402777777777777</v>
      </c>
      <c r="L51" s="1">
        <v>0.74097222222222225</v>
      </c>
      <c r="M51" s="1">
        <v>0.74305555555555547</v>
      </c>
      <c r="N51" s="1">
        <v>0.74444444444444446</v>
      </c>
      <c r="O51" s="1">
        <v>0.74583333333333324</v>
      </c>
      <c r="P51" s="1">
        <v>0.74722222222222223</v>
      </c>
      <c r="Q51" s="1">
        <v>0.74930555555555556</v>
      </c>
      <c r="R51" s="1">
        <v>0.75069444444444444</v>
      </c>
      <c r="S51" s="1">
        <v>0.75277777777777777</v>
      </c>
      <c r="T51" s="5"/>
    </row>
    <row r="52" spans="1:21" x14ac:dyDescent="0.2">
      <c r="A52" t="s">
        <v>8</v>
      </c>
      <c r="B52">
        <v>0</v>
      </c>
      <c r="C52" t="s">
        <v>85</v>
      </c>
      <c r="D52" t="s">
        <v>88</v>
      </c>
      <c r="E52">
        <v>1</v>
      </c>
      <c r="F52">
        <v>1</v>
      </c>
      <c r="G52" s="1">
        <v>0.73819444444444438</v>
      </c>
      <c r="H52" s="1">
        <v>0.73888888888888893</v>
      </c>
      <c r="I52" s="1">
        <v>0.73958333333333337</v>
      </c>
      <c r="J52" s="1">
        <v>0.74097222222222225</v>
      </c>
      <c r="K52" s="1">
        <v>0.74444444444444446</v>
      </c>
      <c r="L52" s="1">
        <v>0.74513888888888891</v>
      </c>
      <c r="M52" s="1">
        <v>0.74722222222222223</v>
      </c>
      <c r="N52" s="1">
        <v>0.74861111111111101</v>
      </c>
      <c r="O52" s="1">
        <v>0.75</v>
      </c>
      <c r="P52" s="1">
        <v>0.75138888888888899</v>
      </c>
      <c r="Q52" s="1">
        <v>0.75347222222222221</v>
      </c>
      <c r="R52" s="1">
        <v>0.75486111111111109</v>
      </c>
      <c r="S52" s="1">
        <v>0.75694444444444453</v>
      </c>
      <c r="T52" s="5"/>
    </row>
    <row r="53" spans="1:21" x14ac:dyDescent="0.2">
      <c r="A53" t="s">
        <v>8</v>
      </c>
      <c r="B53">
        <v>0</v>
      </c>
      <c r="C53" t="s">
        <v>85</v>
      </c>
      <c r="D53" t="s">
        <v>88</v>
      </c>
      <c r="E53">
        <v>1</v>
      </c>
      <c r="F53">
        <v>1</v>
      </c>
      <c r="G53" s="1">
        <v>0.7416666666666667</v>
      </c>
      <c r="H53" s="1">
        <v>0.74236111111111114</v>
      </c>
      <c r="I53" s="1">
        <v>0.74305555555555547</v>
      </c>
      <c r="J53" s="1">
        <v>0.74444444444444446</v>
      </c>
      <c r="K53" s="1">
        <v>0.74791666666666667</v>
      </c>
      <c r="L53" s="1">
        <v>0.74861111111111101</v>
      </c>
      <c r="M53" s="1">
        <v>0.75069444444444444</v>
      </c>
      <c r="N53" s="1">
        <v>0.75208333333333333</v>
      </c>
      <c r="O53" s="1">
        <v>0.75347222222222221</v>
      </c>
      <c r="P53" s="1">
        <v>0.75486111111111109</v>
      </c>
      <c r="Q53" s="1">
        <v>0.75694444444444453</v>
      </c>
      <c r="R53" s="1">
        <v>0.7583333333333333</v>
      </c>
      <c r="S53" s="1">
        <v>0.76041666666666663</v>
      </c>
      <c r="T53" s="5"/>
    </row>
    <row r="54" spans="1:21" x14ac:dyDescent="0.2">
      <c r="A54" t="s">
        <v>8</v>
      </c>
      <c r="B54">
        <v>0</v>
      </c>
      <c r="C54" t="s">
        <v>85</v>
      </c>
      <c r="D54" t="s">
        <v>88</v>
      </c>
      <c r="E54">
        <v>1</v>
      </c>
      <c r="F54">
        <v>1</v>
      </c>
      <c r="G54" s="1">
        <v>0.74652777777777779</v>
      </c>
      <c r="H54" s="1">
        <v>0.74722222222222223</v>
      </c>
      <c r="I54" s="1">
        <v>0.74791666666666667</v>
      </c>
      <c r="J54" s="1">
        <v>0.74930555555555556</v>
      </c>
      <c r="K54" s="1">
        <v>0.75277777777777777</v>
      </c>
      <c r="L54" s="1">
        <v>0.75347222222222221</v>
      </c>
      <c r="M54" s="1">
        <v>0.75555555555555554</v>
      </c>
      <c r="N54" s="1">
        <v>0.75694444444444453</v>
      </c>
      <c r="O54" s="1">
        <v>0.7583333333333333</v>
      </c>
      <c r="P54" s="1">
        <v>0.7597222222222223</v>
      </c>
      <c r="Q54" s="1">
        <v>0.76180555555555562</v>
      </c>
      <c r="R54" s="1">
        <v>0.7631944444444444</v>
      </c>
      <c r="S54" s="1">
        <v>0.76527777777777783</v>
      </c>
      <c r="T54" s="5"/>
    </row>
    <row r="55" spans="1:21" x14ac:dyDescent="0.2">
      <c r="A55" t="s">
        <v>8</v>
      </c>
      <c r="B55">
        <v>0</v>
      </c>
      <c r="C55" t="s">
        <v>85</v>
      </c>
      <c r="D55" t="s">
        <v>88</v>
      </c>
      <c r="E55">
        <v>1</v>
      </c>
      <c r="F55">
        <v>1</v>
      </c>
      <c r="G55" s="1">
        <v>0.75208333333333333</v>
      </c>
      <c r="H55" s="1">
        <v>0.75277777777777777</v>
      </c>
      <c r="I55" s="1">
        <v>0.75347222222222221</v>
      </c>
      <c r="J55" s="1">
        <v>0.75486111111111109</v>
      </c>
      <c r="K55" s="1">
        <v>0.7583333333333333</v>
      </c>
      <c r="L55" s="1">
        <v>0.75902777777777775</v>
      </c>
      <c r="M55" s="1">
        <v>0.76111111111111107</v>
      </c>
      <c r="N55" s="1">
        <v>0.76250000000000007</v>
      </c>
      <c r="O55" s="1">
        <v>0.76388888888888884</v>
      </c>
      <c r="P55" s="1">
        <v>0.76527777777777783</v>
      </c>
      <c r="Q55" s="1">
        <v>0.76736111111111116</v>
      </c>
      <c r="R55" s="1">
        <v>0.76874999999999993</v>
      </c>
      <c r="S55" s="1">
        <v>0.77083333333333337</v>
      </c>
      <c r="T55" s="5"/>
    </row>
    <row r="56" spans="1:21" x14ac:dyDescent="0.2">
      <c r="A56" t="s">
        <v>8</v>
      </c>
      <c r="B56">
        <v>0</v>
      </c>
      <c r="C56" t="s">
        <v>85</v>
      </c>
      <c r="D56" t="s">
        <v>88</v>
      </c>
      <c r="E56">
        <v>1</v>
      </c>
      <c r="F56">
        <v>1</v>
      </c>
      <c r="G56" s="1">
        <v>0.75902777777777775</v>
      </c>
      <c r="H56" s="1">
        <v>0.7597222222222223</v>
      </c>
      <c r="I56" s="1">
        <v>0.76041666666666663</v>
      </c>
      <c r="J56" s="1">
        <v>0.76180555555555562</v>
      </c>
      <c r="K56" s="1">
        <v>0.76527777777777783</v>
      </c>
      <c r="L56" s="1">
        <v>0.76597222222222217</v>
      </c>
      <c r="M56" s="1">
        <v>0.7680555555555556</v>
      </c>
      <c r="N56" s="1">
        <v>0.76944444444444438</v>
      </c>
      <c r="O56" s="1">
        <v>0.77083333333333337</v>
      </c>
      <c r="P56" s="1">
        <v>0.77222222222222225</v>
      </c>
      <c r="Q56" s="1">
        <v>0.77430555555555547</v>
      </c>
      <c r="R56" s="1">
        <v>0.77569444444444446</v>
      </c>
      <c r="S56" s="1">
        <v>0.77777777777777779</v>
      </c>
      <c r="T56" s="5"/>
    </row>
    <row r="57" spans="1:21" x14ac:dyDescent="0.2">
      <c r="A57" t="s">
        <v>8</v>
      </c>
      <c r="B57">
        <v>0</v>
      </c>
      <c r="C57" t="s">
        <v>85</v>
      </c>
      <c r="D57" t="s">
        <v>88</v>
      </c>
      <c r="E57">
        <v>1</v>
      </c>
      <c r="F57">
        <v>1</v>
      </c>
      <c r="G57" s="1">
        <v>0.76666666666666661</v>
      </c>
      <c r="H57" s="1">
        <v>0.76736111111111116</v>
      </c>
      <c r="I57" s="1">
        <v>0.7680555555555556</v>
      </c>
      <c r="J57" s="1">
        <v>0.76944444444444438</v>
      </c>
      <c r="K57" s="1">
        <v>0.7729166666666667</v>
      </c>
      <c r="L57" s="1">
        <v>0.77361111111111114</v>
      </c>
      <c r="M57" s="1">
        <v>0.77569444444444446</v>
      </c>
      <c r="N57" s="1">
        <v>0.77708333333333324</v>
      </c>
      <c r="O57" s="1">
        <v>0.77847222222222223</v>
      </c>
      <c r="P57" s="1">
        <v>0.77986111111111101</v>
      </c>
      <c r="Q57" s="1">
        <v>0.78194444444444444</v>
      </c>
      <c r="R57" s="1">
        <v>0.78333333333333333</v>
      </c>
      <c r="S57" s="1">
        <v>0.78541666666666676</v>
      </c>
      <c r="T57" s="5"/>
    </row>
    <row r="58" spans="1:21" x14ac:dyDescent="0.2">
      <c r="A58" t="s">
        <v>8</v>
      </c>
      <c r="B58">
        <v>0</v>
      </c>
      <c r="C58" t="s">
        <v>85</v>
      </c>
      <c r="D58" t="s">
        <v>88</v>
      </c>
      <c r="E58">
        <v>1</v>
      </c>
      <c r="F58">
        <v>1</v>
      </c>
      <c r="G58" s="1">
        <v>0.77361111111111114</v>
      </c>
      <c r="H58" s="1">
        <v>0.77430555555555547</v>
      </c>
      <c r="I58" s="1">
        <v>0.77500000000000002</v>
      </c>
      <c r="J58" s="1">
        <v>0.77638888888888891</v>
      </c>
      <c r="K58" s="1">
        <v>0.77986111111111101</v>
      </c>
      <c r="L58" s="1">
        <v>0.78055555555555556</v>
      </c>
      <c r="M58" s="1">
        <v>0.78263888888888899</v>
      </c>
      <c r="N58" s="1">
        <v>0.78402777777777777</v>
      </c>
      <c r="O58" s="1">
        <v>0.78541666666666676</v>
      </c>
      <c r="P58" s="1">
        <v>0.78680555555555554</v>
      </c>
      <c r="Q58" s="1">
        <v>0.78888888888888886</v>
      </c>
      <c r="R58" s="1">
        <v>0.79027777777777775</v>
      </c>
      <c r="S58" s="1">
        <v>0.79236111111111107</v>
      </c>
      <c r="T58" s="5"/>
    </row>
    <row r="59" spans="1:21" x14ac:dyDescent="0.2">
      <c r="A59" t="s">
        <v>8</v>
      </c>
      <c r="B59">
        <v>0</v>
      </c>
      <c r="C59" t="s">
        <v>85</v>
      </c>
      <c r="D59" t="s">
        <v>88</v>
      </c>
      <c r="E59">
        <v>1</v>
      </c>
      <c r="F59">
        <v>1</v>
      </c>
      <c r="G59" s="1">
        <v>0.77986111111111101</v>
      </c>
      <c r="H59" s="1">
        <v>0.78055555555555556</v>
      </c>
      <c r="I59" s="1">
        <v>0.78125</v>
      </c>
      <c r="J59" s="1">
        <v>0.78263888888888899</v>
      </c>
      <c r="K59" s="1">
        <v>0.78611111111111109</v>
      </c>
      <c r="L59" s="1">
        <v>0.78680555555555554</v>
      </c>
      <c r="M59" s="1">
        <v>0.78888888888888886</v>
      </c>
      <c r="N59" s="1">
        <v>0.79027777777777775</v>
      </c>
      <c r="O59" s="1">
        <v>0.79166666666666663</v>
      </c>
      <c r="P59" s="1">
        <v>0.79305555555555562</v>
      </c>
      <c r="Q59" s="1">
        <v>0.79513888888888884</v>
      </c>
      <c r="R59" s="1">
        <v>0.79652777777777783</v>
      </c>
      <c r="S59" s="1">
        <v>0.79861111111111116</v>
      </c>
      <c r="T59" s="5"/>
    </row>
    <row r="60" spans="1:21" x14ac:dyDescent="0.2">
      <c r="A60" t="s">
        <v>8</v>
      </c>
      <c r="B60">
        <v>0</v>
      </c>
      <c r="C60" t="s">
        <v>85</v>
      </c>
      <c r="D60" t="s">
        <v>88</v>
      </c>
      <c r="E60">
        <v>1</v>
      </c>
      <c r="F60">
        <v>1</v>
      </c>
      <c r="G60" s="1">
        <v>0.78680555555555554</v>
      </c>
      <c r="H60" s="1">
        <v>0.78749999999999998</v>
      </c>
      <c r="I60" s="1">
        <v>0.78819444444444453</v>
      </c>
      <c r="J60" s="1">
        <v>0.7895833333333333</v>
      </c>
      <c r="K60" s="1">
        <v>0.79305555555555562</v>
      </c>
      <c r="L60" s="1">
        <v>0.79375000000000007</v>
      </c>
      <c r="M60" s="1">
        <v>0.79583333333333339</v>
      </c>
      <c r="N60" s="1">
        <v>0.79722222222222217</v>
      </c>
      <c r="O60" s="1">
        <v>0.79861111111111116</v>
      </c>
      <c r="P60" s="1">
        <v>0.79999999999999993</v>
      </c>
      <c r="Q60" s="1">
        <v>0.80208333333333337</v>
      </c>
      <c r="R60" s="1">
        <v>0.80347222222222225</v>
      </c>
      <c r="S60" s="1">
        <v>0.80555555555555547</v>
      </c>
      <c r="T60" s="5"/>
      <c r="U60" s="3"/>
    </row>
    <row r="61" spans="1:21" x14ac:dyDescent="0.2">
      <c r="A61" t="s">
        <v>8</v>
      </c>
      <c r="B61">
        <v>0</v>
      </c>
      <c r="C61" t="s">
        <v>85</v>
      </c>
      <c r="D61" t="s">
        <v>88</v>
      </c>
      <c r="E61">
        <v>1</v>
      </c>
      <c r="F61">
        <v>1</v>
      </c>
      <c r="G61" s="1">
        <v>0.7944444444444444</v>
      </c>
      <c r="H61" s="1">
        <v>0.79513888888888884</v>
      </c>
      <c r="I61" s="1">
        <v>0.79583333333333339</v>
      </c>
      <c r="J61" s="1">
        <v>0.79722222222222217</v>
      </c>
      <c r="K61" s="1">
        <v>0.80069444444444438</v>
      </c>
      <c r="L61" s="1">
        <v>0.80138888888888893</v>
      </c>
      <c r="M61" s="1">
        <v>0.80347222222222225</v>
      </c>
      <c r="N61" s="1">
        <v>0.80486111111111114</v>
      </c>
      <c r="O61" s="1">
        <v>0.80625000000000002</v>
      </c>
      <c r="P61" s="1">
        <v>0.80763888888888891</v>
      </c>
      <c r="Q61" s="1">
        <v>0.80972222222222223</v>
      </c>
      <c r="R61" s="1">
        <v>0.81111111111111101</v>
      </c>
      <c r="S61" s="1">
        <v>0.81319444444444444</v>
      </c>
      <c r="T61" s="5">
        <f>TIME(0,15,0)</f>
        <v>1.0416666666666666E-2</v>
      </c>
      <c r="U61" s="3">
        <v>0.8881944444444444</v>
      </c>
    </row>
    <row r="62" spans="1:21" x14ac:dyDescent="0.2">
      <c r="A62" t="s">
        <v>8</v>
      </c>
      <c r="B62">
        <v>0</v>
      </c>
      <c r="C62" t="s">
        <v>85</v>
      </c>
      <c r="D62" t="s">
        <v>88</v>
      </c>
      <c r="E62">
        <v>1</v>
      </c>
      <c r="F62">
        <v>1</v>
      </c>
      <c r="G62" s="1">
        <v>0.89930555555555547</v>
      </c>
      <c r="H62" s="1">
        <v>0.9</v>
      </c>
      <c r="I62" s="1">
        <v>0.90069444444444446</v>
      </c>
      <c r="J62" s="1">
        <v>0.90208333333333324</v>
      </c>
      <c r="K62" s="1">
        <v>0.90555555555555556</v>
      </c>
      <c r="L62" s="1">
        <v>0.90625</v>
      </c>
      <c r="M62" s="1">
        <v>0.90833333333333333</v>
      </c>
      <c r="N62" s="1">
        <v>0.90972222222222221</v>
      </c>
      <c r="O62" s="1">
        <v>0.91111111111111109</v>
      </c>
      <c r="P62" s="1">
        <v>0.91249999999999998</v>
      </c>
      <c r="Q62" s="1">
        <v>0.9145833333333333</v>
      </c>
      <c r="R62" s="1">
        <v>0.9159722222222223</v>
      </c>
      <c r="S62" s="1">
        <v>0.91805555555555562</v>
      </c>
      <c r="T62" s="5"/>
    </row>
    <row r="63" spans="1:21" x14ac:dyDescent="0.2">
      <c r="A63" t="s">
        <v>8</v>
      </c>
      <c r="B63">
        <v>0</v>
      </c>
      <c r="C63" t="s">
        <v>85</v>
      </c>
      <c r="D63" t="s">
        <v>88</v>
      </c>
      <c r="E63">
        <v>1</v>
      </c>
      <c r="F63">
        <v>1</v>
      </c>
      <c r="G63" s="1">
        <v>0.90972222222222221</v>
      </c>
      <c r="H63" s="1">
        <v>0.91041666666666676</v>
      </c>
      <c r="I63" s="1">
        <v>0.91111111111111109</v>
      </c>
      <c r="J63" s="1">
        <v>0.91249999999999998</v>
      </c>
      <c r="K63" s="1">
        <v>0.9159722222222223</v>
      </c>
      <c r="L63" s="1">
        <v>0.91666666666666663</v>
      </c>
      <c r="M63" s="1">
        <v>0.91875000000000007</v>
      </c>
      <c r="N63" s="1">
        <v>0.92013888888888884</v>
      </c>
      <c r="O63" s="1">
        <v>0.92152777777777783</v>
      </c>
      <c r="P63" s="1">
        <v>0.92291666666666661</v>
      </c>
      <c r="Q63" s="1">
        <v>0.92499999999999993</v>
      </c>
      <c r="R63" s="1">
        <v>0.92638888888888893</v>
      </c>
      <c r="S63" s="1">
        <v>0.92847222222222225</v>
      </c>
      <c r="T63" s="5"/>
    </row>
    <row r="64" spans="1:21" x14ac:dyDescent="0.2">
      <c r="A64" t="s">
        <v>8</v>
      </c>
      <c r="B64">
        <v>0</v>
      </c>
      <c r="C64" t="s">
        <v>85</v>
      </c>
      <c r="D64" t="s">
        <v>88</v>
      </c>
      <c r="E64">
        <v>1</v>
      </c>
      <c r="F64">
        <v>1</v>
      </c>
      <c r="G64" s="1">
        <v>0.92013888888888884</v>
      </c>
      <c r="H64" s="1">
        <v>0.92083333333333339</v>
      </c>
      <c r="I64" s="1">
        <v>0.92152777777777783</v>
      </c>
      <c r="J64" s="1">
        <v>0.92291666666666661</v>
      </c>
      <c r="K64" s="1">
        <v>0.92638888888888893</v>
      </c>
      <c r="L64" s="1">
        <v>0.92708333333333337</v>
      </c>
      <c r="M64" s="1">
        <v>0.9291666666666667</v>
      </c>
      <c r="N64" s="1">
        <v>0.93055555555555547</v>
      </c>
      <c r="O64" s="1">
        <v>0.93194444444444446</v>
      </c>
      <c r="P64" s="1">
        <v>0.93333333333333324</v>
      </c>
      <c r="Q64" s="1">
        <v>0.93541666666666667</v>
      </c>
      <c r="R64" s="1">
        <v>0.93680555555555556</v>
      </c>
      <c r="S64" s="1">
        <v>0.93888888888888899</v>
      </c>
      <c r="T64" s="5">
        <f>TIME(0,20,0)</f>
        <v>1.3888888888888888E-2</v>
      </c>
      <c r="U64" s="3">
        <v>0.98958333333333337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C7E93-85A2-2048-8E6C-7448EE2CFFBF}">
  <dimension ref="A1:U8"/>
  <sheetViews>
    <sheetView workbookViewId="0">
      <selection activeCell="G2" sqref="G2:S2"/>
    </sheetView>
  </sheetViews>
  <sheetFormatPr baseColWidth="10" defaultRowHeight="16" x14ac:dyDescent="0.2"/>
  <cols>
    <col min="1" max="1" width="8" customWidth="1"/>
    <col min="2" max="2" width="5" customWidth="1"/>
    <col min="3" max="3" width="10.33203125" bestFit="1" customWidth="1"/>
    <col min="4" max="4" width="15.83203125" bestFit="1" customWidth="1"/>
    <col min="5" max="6" width="4" customWidth="1"/>
    <col min="7" max="19" width="8.1640625" bestFit="1" customWidth="1"/>
    <col min="20" max="20" width="10" bestFit="1" customWidth="1"/>
    <col min="21" max="21" width="5.6640625" bestFit="1" customWidth="1"/>
  </cols>
  <sheetData>
    <row r="1" spans="1:21" ht="92" x14ac:dyDescent="0.2">
      <c r="A1" s="6" t="str">
        <f>_xlfn.IFNA(INDEX(Stops!$2:$1048576,MATCH(A2,Stops!$A$2:$A$1048576,0),MATCH("stop_name",Stops!$1:$1,0)),IF(ISBLANK(A2),"",A2))</f>
        <v>route_id</v>
      </c>
      <c r="B1" s="6" t="str">
        <f>_xlfn.IFNA(INDEX(Stops!$2:$1048576,MATCH(B2,Stops!$A$2:$A$1048576,0),MATCH("stop_name",Stops!$1:$1,0)),IF(ISBLANK(B2),"",B2))</f>
        <v>direction_id</v>
      </c>
      <c r="C1" s="6" t="str">
        <f>_xlfn.IFNA(INDEX(Stops!$2:$1048576,MATCH(C2,Stops!$A$2:$A$1048576,0),MATCH("stop_name",Stops!$1:$1,0)),IF(ISBLANK(C2),"",C2))</f>
        <v>shape_id</v>
      </c>
      <c r="D1" s="6" t="str">
        <f>_xlfn.IFNA(INDEX(Stops!$2:$1048576,MATCH(D2,Stops!$A$2:$A$1048576,0),MATCH("stop_name",Stops!$1:$1,0)),IF(ISBLANK(D2),"",D2))</f>
        <v>headsign</v>
      </c>
      <c r="E1" s="6" t="str">
        <f>_xlfn.IFNA(INDEX(Stops!$2:$1048576,MATCH(E2,Stops!$A$2:$A$1048576,0),MATCH("stop_name",Stops!$1:$1,0)),IF(ISBLANK(E2),"",E2))</f>
        <v>wheelchair_accessible</v>
      </c>
      <c r="F1" s="6" t="str">
        <f>_xlfn.IFNA(INDEX(Stops!$2:$1048576,MATCH(F2,Stops!$A$2:$A$1048576,0),MATCH("stop_name",Stops!$1:$1,0)),IF(ISBLANK(F2),"",F2))</f>
        <v>bikes_allowed</v>
      </c>
      <c r="G1" s="6" t="str">
        <f>_xlfn.IFNA(INDEX(Stops!$2:$1048576,MATCH(G2,Stops!$A$2:$A$1048576,0),MATCH("stop_name",Stops!$1:$1,0)),IF(ISBLANK(G2),"",G2))</f>
        <v>Lindenwold</v>
      </c>
      <c r="H1" s="6" t="str">
        <f>_xlfn.IFNA(INDEX(Stops!$2:$1048576,MATCH(H2,Stops!$A$2:$A$1048576,0),MATCH("stop_name",Stops!$1:$1,0)),IF(ISBLANK(H2),"",H2))</f>
        <v>Ashland</v>
      </c>
      <c r="I1" s="6" t="str">
        <f>_xlfn.IFNA(INDEX(Stops!$2:$1048576,MATCH(I2,Stops!$A$2:$A$1048576,0),MATCH("stop_name",Stops!$1:$1,0)),IF(ISBLANK(I2),"",I2))</f>
        <v>Woodcrest</v>
      </c>
      <c r="J1" s="6" t="str">
        <f>_xlfn.IFNA(INDEX(Stops!$2:$1048576,MATCH(J2,Stops!$A$2:$A$1048576,0),MATCH("stop_name",Stops!$1:$1,0)),IF(ISBLANK(J2),"",J2))</f>
        <v>Haddonfield</v>
      </c>
      <c r="K1" s="6" t="str">
        <f>_xlfn.IFNA(INDEX(Stops!$2:$1048576,MATCH(K2,Stops!$A$2:$A$1048576,0),MATCH("stop_name",Stops!$1:$1,0)),IF(ISBLANK(K2),"",K2))</f>
        <v>Westmont</v>
      </c>
      <c r="L1" s="6" t="str">
        <f>_xlfn.IFNA(INDEX(Stops!$2:$1048576,MATCH(L2,Stops!$A$2:$A$1048576,0),MATCH("stop_name",Stops!$1:$1,0)),IF(ISBLANK(L2),"",L2))</f>
        <v>Collingswood</v>
      </c>
      <c r="M1" s="6" t="str">
        <f>_xlfn.IFNA(INDEX(Stops!$2:$1048576,MATCH(M2,Stops!$A$2:$A$1048576,0),MATCH("stop_name",Stops!$1:$1,0)),IF(ISBLANK(M2),"",M2))</f>
        <v>Ferry Avenue</v>
      </c>
      <c r="N1" s="6" t="str">
        <f>_xlfn.IFNA(INDEX(Stops!$2:$1048576,MATCH(N2,Stops!$A$2:$A$1048576,0),MATCH("stop_name",Stops!$1:$1,0)),IF(ISBLANK(N2),"",N2))</f>
        <v>Broadway</v>
      </c>
      <c r="O1" s="6" t="str">
        <f>_xlfn.IFNA(INDEX(Stops!$2:$1048576,MATCH(O2,Stops!$A$2:$A$1048576,0),MATCH("stop_name",Stops!$1:$1,0)),IF(ISBLANK(O2),"",O2))</f>
        <v>City Hall</v>
      </c>
      <c r="P1" s="6" t="str">
        <f>_xlfn.IFNA(INDEX(Stops!$2:$1048576,MATCH(P2,Stops!$A$2:$A$1048576,0),MATCH("stop_name",Stops!$1:$1,0)),IF(ISBLANK(P2),"",P2))</f>
        <v>8th and Market</v>
      </c>
      <c r="Q1" s="6" t="str">
        <f>_xlfn.IFNA(INDEX(Stops!$2:$1048576,MATCH(Q2,Stops!$A$2:$A$1048576,0),MATCH("stop_name",Stops!$1:$1,0)),IF(ISBLANK(Q2),"",Q2))</f>
        <v>9-10th and Locust</v>
      </c>
      <c r="R1" s="6" t="str">
        <f>_xlfn.IFNA(INDEX(Stops!$2:$1048576,MATCH(R2,Stops!$A$2:$A$1048576,0),MATCH("stop_name",Stops!$1:$1,0)),IF(ISBLANK(R2),"",R2))</f>
        <v>12-13th and Locust</v>
      </c>
      <c r="S1" s="6" t="str">
        <f>_xlfn.IFNA(INDEX(Stops!$2:$1048576,MATCH(S2,Stops!$A$2:$A$1048576,0),MATCH("stop_name",Stops!$1:$1,0)),IF(ISBLANK(S2),"",S2))</f>
        <v>15-16th and Locust</v>
      </c>
      <c r="T1" s="7" t="str">
        <f>_xlfn.IFNA(INDEX(Stops!$2:$1048576,MATCH(T2,Stops!$A$2:$A$1048576,0),MATCH("stop_name",Stops!$1:$1,0)),IF(ISBLANK(T2),"",T2))</f>
        <v>Then Every</v>
      </c>
      <c r="U1" s="6" t="str">
        <f>_xlfn.IFNA(INDEX(Stops!$2:$1048576,MATCH(U2,Stops!$A$2:$A$1048576,0),MATCH("stop_name",Stops!$1:$1,0)),IF(ISBLANK(U2),"",U2))</f>
        <v>Until</v>
      </c>
    </row>
    <row r="2" spans="1:21" x14ac:dyDescent="0.2">
      <c r="A2" s="2" t="s">
        <v>14</v>
      </c>
      <c r="B2" s="2" t="s">
        <v>77</v>
      </c>
      <c r="C2" s="2" t="s">
        <v>24</v>
      </c>
      <c r="D2" s="2" t="s">
        <v>81</v>
      </c>
      <c r="E2" s="2" t="s">
        <v>78</v>
      </c>
      <c r="F2" s="2" t="s">
        <v>79</v>
      </c>
      <c r="G2" s="2" t="s">
        <v>138</v>
      </c>
      <c r="H2" s="2" t="s">
        <v>129</v>
      </c>
      <c r="I2" s="2" t="s">
        <v>136</v>
      </c>
      <c r="J2" s="2" t="s">
        <v>137</v>
      </c>
      <c r="K2" s="2" t="s">
        <v>135</v>
      </c>
      <c r="L2" s="2" t="s">
        <v>134</v>
      </c>
      <c r="M2" s="2" t="s">
        <v>133</v>
      </c>
      <c r="N2" s="2" t="s">
        <v>132</v>
      </c>
      <c r="O2" s="2" t="s">
        <v>128</v>
      </c>
      <c r="P2" s="2" t="s">
        <v>130</v>
      </c>
      <c r="Q2" s="2" t="s">
        <v>131</v>
      </c>
      <c r="R2" s="2" t="s">
        <v>139</v>
      </c>
      <c r="S2" s="2" t="s">
        <v>140</v>
      </c>
      <c r="T2" s="4" t="s">
        <v>83</v>
      </c>
      <c r="U2" s="2" t="s">
        <v>84</v>
      </c>
    </row>
    <row r="3" spans="1:21" x14ac:dyDescent="0.2">
      <c r="A3" t="s">
        <v>8</v>
      </c>
      <c r="B3">
        <v>1</v>
      </c>
      <c r="C3" t="s">
        <v>87</v>
      </c>
      <c r="D3" t="s">
        <v>82</v>
      </c>
      <c r="E3">
        <v>1</v>
      </c>
      <c r="F3">
        <v>1</v>
      </c>
      <c r="G3" s="1">
        <v>0</v>
      </c>
      <c r="H3" s="1">
        <v>1.3888888888888889E-3</v>
      </c>
      <c r="I3" s="1">
        <v>2.0833333333333333E-3</v>
      </c>
      <c r="J3" s="1">
        <v>4.1666666666666666E-3</v>
      </c>
      <c r="K3" s="1">
        <v>5.5555555555555558E-3</v>
      </c>
      <c r="L3" s="1">
        <v>6.9444444444444441E-3</v>
      </c>
      <c r="M3" s="1">
        <v>8.3333333333333332E-3</v>
      </c>
      <c r="N3" s="1">
        <v>1.1111111111111112E-2</v>
      </c>
      <c r="O3" s="1">
        <v>1.2499999999999999E-2</v>
      </c>
      <c r="P3" s="1">
        <v>1.5972222222222224E-2</v>
      </c>
      <c r="Q3" s="1"/>
      <c r="R3" s="1">
        <v>1.8055555555555557E-2</v>
      </c>
      <c r="S3" s="1">
        <v>1.8749999999999999E-2</v>
      </c>
      <c r="T3" s="5">
        <f>TIME(0,60,0)</f>
        <v>4.1666666666666664E-2</v>
      </c>
      <c r="U3" s="3">
        <v>0.125</v>
      </c>
    </row>
    <row r="4" spans="1:21" x14ac:dyDescent="0.2">
      <c r="A4" t="s">
        <v>8</v>
      </c>
      <c r="B4">
        <v>1</v>
      </c>
      <c r="C4" t="s">
        <v>87</v>
      </c>
      <c r="D4" t="s">
        <v>82</v>
      </c>
      <c r="E4">
        <v>1</v>
      </c>
      <c r="F4">
        <v>1</v>
      </c>
      <c r="G4" s="1">
        <v>0.16666666666666666</v>
      </c>
      <c r="H4" s="1">
        <v>0.16805555555555554</v>
      </c>
      <c r="I4" s="1">
        <v>0.16874999999999998</v>
      </c>
      <c r="J4" s="1">
        <v>0.17083333333333331</v>
      </c>
      <c r="K4" s="1">
        <v>0.17222222222222225</v>
      </c>
      <c r="L4" s="1">
        <v>0.17361111111111113</v>
      </c>
      <c r="M4" s="1">
        <v>0.17500000000000002</v>
      </c>
      <c r="N4" s="1">
        <v>0.17777777777777778</v>
      </c>
      <c r="O4" s="1">
        <v>0.17916666666666667</v>
      </c>
      <c r="P4" s="1">
        <v>0.18263888888888891</v>
      </c>
      <c r="Q4" s="1">
        <v>0.18402777777777779</v>
      </c>
      <c r="R4" s="1">
        <v>0.18472222222222223</v>
      </c>
      <c r="S4" s="1">
        <v>0.18541666666666667</v>
      </c>
      <c r="T4" s="5"/>
    </row>
    <row r="5" spans="1:21" x14ac:dyDescent="0.2">
      <c r="A5" t="s">
        <v>8</v>
      </c>
      <c r="B5">
        <v>1</v>
      </c>
      <c r="C5" t="s">
        <v>87</v>
      </c>
      <c r="D5" t="s">
        <v>82</v>
      </c>
      <c r="E5">
        <v>1</v>
      </c>
      <c r="F5">
        <v>1</v>
      </c>
      <c r="G5" s="1">
        <v>0.20833333333333334</v>
      </c>
      <c r="H5" s="1">
        <v>0.20972222222222223</v>
      </c>
      <c r="I5" s="1">
        <v>0.21041666666666667</v>
      </c>
      <c r="J5" s="1">
        <v>0.21249999999999999</v>
      </c>
      <c r="K5" s="1">
        <v>0.21388888888888891</v>
      </c>
      <c r="L5" s="1">
        <v>0.21527777777777779</v>
      </c>
      <c r="M5" s="1">
        <v>0.21666666666666667</v>
      </c>
      <c r="N5" s="1">
        <v>0.21944444444444444</v>
      </c>
      <c r="O5" s="1">
        <v>0.22083333333333333</v>
      </c>
      <c r="P5" s="1">
        <v>0.22430555555555556</v>
      </c>
      <c r="Q5" s="1">
        <v>0.22569444444444445</v>
      </c>
      <c r="R5" s="1">
        <v>0.22638888888888889</v>
      </c>
      <c r="S5" s="1">
        <v>0.22708333333333333</v>
      </c>
      <c r="T5" s="5"/>
    </row>
    <row r="6" spans="1:21" x14ac:dyDescent="0.2">
      <c r="A6" t="s">
        <v>8</v>
      </c>
      <c r="B6">
        <v>1</v>
      </c>
      <c r="C6" t="s">
        <v>87</v>
      </c>
      <c r="D6" t="s">
        <v>82</v>
      </c>
      <c r="E6">
        <v>1</v>
      </c>
      <c r="F6">
        <v>1</v>
      </c>
      <c r="G6" s="1">
        <v>0.22916666666666666</v>
      </c>
      <c r="H6" s="1">
        <v>0.23055555555555554</v>
      </c>
      <c r="I6" s="1">
        <v>0.23124999999999998</v>
      </c>
      <c r="J6" s="1">
        <v>0.23333333333333331</v>
      </c>
      <c r="K6" s="1">
        <v>0.23472222222222219</v>
      </c>
      <c r="L6" s="1">
        <v>0.23611111111111113</v>
      </c>
      <c r="M6" s="1">
        <v>0.23750000000000002</v>
      </c>
      <c r="N6" s="1">
        <v>0.24027777777777778</v>
      </c>
      <c r="O6" s="1">
        <v>0.24166666666666667</v>
      </c>
      <c r="P6" s="1">
        <v>0.24513888888888888</v>
      </c>
      <c r="Q6" s="1">
        <v>0.24652777777777779</v>
      </c>
      <c r="R6" s="1">
        <v>0.24722222222222223</v>
      </c>
      <c r="S6" s="1">
        <v>0.24791666666666667</v>
      </c>
      <c r="T6" s="5"/>
    </row>
    <row r="7" spans="1:21" x14ac:dyDescent="0.2">
      <c r="A7" t="s">
        <v>8</v>
      </c>
      <c r="B7">
        <v>1</v>
      </c>
      <c r="C7" t="s">
        <v>87</v>
      </c>
      <c r="D7" t="s">
        <v>82</v>
      </c>
      <c r="E7">
        <v>1</v>
      </c>
      <c r="F7">
        <v>1</v>
      </c>
      <c r="G7" s="1">
        <v>0.25</v>
      </c>
      <c r="H7" s="1">
        <v>0.25138888888888888</v>
      </c>
      <c r="I7" s="1">
        <v>0.25208333333333333</v>
      </c>
      <c r="J7" s="1">
        <v>0.25416666666666665</v>
      </c>
      <c r="K7" s="1">
        <v>0.25555555555555559</v>
      </c>
      <c r="L7" s="1">
        <v>0.25694444444444448</v>
      </c>
      <c r="M7" s="1">
        <v>0.25833333333333336</v>
      </c>
      <c r="N7" s="1">
        <v>0.26111111111111113</v>
      </c>
      <c r="O7" s="1">
        <v>0.26250000000000001</v>
      </c>
      <c r="P7" s="1">
        <v>0.26597222222222222</v>
      </c>
      <c r="Q7" s="1">
        <v>0.2673611111111111</v>
      </c>
      <c r="R7" s="1">
        <v>0.26805555555555555</v>
      </c>
      <c r="S7" s="1">
        <v>0.26874999999999999</v>
      </c>
      <c r="T7" s="5"/>
    </row>
    <row r="8" spans="1:21" x14ac:dyDescent="0.2">
      <c r="A8" t="s">
        <v>8</v>
      </c>
      <c r="B8">
        <v>1</v>
      </c>
      <c r="C8" t="s">
        <v>87</v>
      </c>
      <c r="D8" t="s">
        <v>82</v>
      </c>
      <c r="E8">
        <v>1</v>
      </c>
      <c r="F8">
        <v>1</v>
      </c>
      <c r="G8" s="1">
        <v>0.27083333333333331</v>
      </c>
      <c r="H8" s="1">
        <v>0.2722222222222222</v>
      </c>
      <c r="I8" s="1">
        <v>0.27291666666666664</v>
      </c>
      <c r="J8" s="1">
        <v>0.27499999999999997</v>
      </c>
      <c r="K8" s="1">
        <v>0.27638888888888885</v>
      </c>
      <c r="L8" s="1">
        <v>0.27777777777777779</v>
      </c>
      <c r="M8" s="1">
        <v>0.27916666666666667</v>
      </c>
      <c r="N8" s="1">
        <v>0.28194444444444444</v>
      </c>
      <c r="O8" s="1">
        <v>0.28333333333333333</v>
      </c>
      <c r="P8" s="1">
        <v>0.28680555555555554</v>
      </c>
      <c r="Q8" s="1">
        <v>0.28819444444444448</v>
      </c>
      <c r="R8" s="1">
        <v>0.28888888888888892</v>
      </c>
      <c r="S8" s="1">
        <v>0.28958333333333336</v>
      </c>
      <c r="T8" s="5">
        <f>TIME(0,20,0)</f>
        <v>1.3888888888888888E-2</v>
      </c>
      <c r="U8" s="3">
        <v>0.97916666666666663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3F801-E320-7D43-827B-8045CCC13B06}">
  <dimension ref="A1:U8"/>
  <sheetViews>
    <sheetView workbookViewId="0">
      <selection activeCell="G2" sqref="G2:S2"/>
    </sheetView>
  </sheetViews>
  <sheetFormatPr baseColWidth="10" defaultRowHeight="16" x14ac:dyDescent="0.2"/>
  <cols>
    <col min="1" max="1" width="8" customWidth="1"/>
    <col min="2" max="2" width="5" customWidth="1"/>
    <col min="3" max="3" width="10.33203125" bestFit="1" customWidth="1"/>
    <col min="4" max="4" width="15.83203125" bestFit="1" customWidth="1"/>
    <col min="5" max="6" width="4" customWidth="1"/>
    <col min="7" max="19" width="8.1640625" bestFit="1" customWidth="1"/>
    <col min="20" max="20" width="10" bestFit="1" customWidth="1"/>
    <col min="21" max="21" width="5.6640625" bestFit="1" customWidth="1"/>
  </cols>
  <sheetData>
    <row r="1" spans="1:21" ht="92" x14ac:dyDescent="0.2">
      <c r="A1" s="6" t="str">
        <f>_xlfn.IFNA(INDEX(Stops!$2:$1048576,MATCH(A2,Stops!$A$2:$A$1048576,0),MATCH("stop_name",Stops!$1:$1,0)),IF(ISBLANK(A2),"",A2))</f>
        <v>route_id</v>
      </c>
      <c r="B1" s="6" t="str">
        <f>_xlfn.IFNA(INDEX(Stops!$2:$1048576,MATCH(B2,Stops!$A$2:$A$1048576,0),MATCH("stop_name",Stops!$1:$1,0)),IF(ISBLANK(B2),"",B2))</f>
        <v>direction_id</v>
      </c>
      <c r="C1" s="6" t="str">
        <f>_xlfn.IFNA(INDEX(Stops!$2:$1048576,MATCH(C2,Stops!$A$2:$A$1048576,0),MATCH("stop_name",Stops!$1:$1,0)),IF(ISBLANK(C2),"",C2))</f>
        <v>shape_id</v>
      </c>
      <c r="D1" s="6" t="str">
        <f>_xlfn.IFNA(INDEX(Stops!$2:$1048576,MATCH(D2,Stops!$A$2:$A$1048576,0),MATCH("stop_name",Stops!$1:$1,0)),IF(ISBLANK(D2),"",D2))</f>
        <v>headsign</v>
      </c>
      <c r="E1" s="6" t="str">
        <f>_xlfn.IFNA(INDEX(Stops!$2:$1048576,MATCH(E2,Stops!$A$2:$A$1048576,0),MATCH("stop_name",Stops!$1:$1,0)),IF(ISBLANK(E2),"",E2))</f>
        <v>wheelchair_accessible</v>
      </c>
      <c r="F1" s="6" t="str">
        <f>_xlfn.IFNA(INDEX(Stops!$2:$1048576,MATCH(F2,Stops!$A$2:$A$1048576,0),MATCH("stop_name",Stops!$1:$1,0)),IF(ISBLANK(F2),"",F2))</f>
        <v>bikes_allowed</v>
      </c>
      <c r="G1" s="6" t="str">
        <f>_xlfn.IFNA(INDEX(Stops!$2:$1048576,MATCH(G2,Stops!$A$2:$A$1048576,0),MATCH("stop_name",Stops!$1:$1,0)),IF(ISBLANK(G2),"",G2))</f>
        <v>15-16th and Locust</v>
      </c>
      <c r="H1" s="6" t="str">
        <f>_xlfn.IFNA(INDEX(Stops!$2:$1048576,MATCH(H2,Stops!$A$2:$A$1048576,0),MATCH("stop_name",Stops!$1:$1,0)),IF(ISBLANK(H2),"",H2))</f>
        <v>12-13th and Locust</v>
      </c>
      <c r="I1" s="6" t="str">
        <f>_xlfn.IFNA(INDEX(Stops!$2:$1048576,MATCH(I2,Stops!$A$2:$A$1048576,0),MATCH("stop_name",Stops!$1:$1,0)),IF(ISBLANK(I2),"",I2))</f>
        <v>9-10th and Locust</v>
      </c>
      <c r="J1" s="6" t="str">
        <f>_xlfn.IFNA(INDEX(Stops!$2:$1048576,MATCH(J2,Stops!$A$2:$A$1048576,0),MATCH("stop_name",Stops!$1:$1,0)),IF(ISBLANK(J2),"",J2))</f>
        <v>8th and Market</v>
      </c>
      <c r="K1" s="6" t="str">
        <f>_xlfn.IFNA(INDEX(Stops!$2:$1048576,MATCH(K2,Stops!$A$2:$A$1048576,0),MATCH("stop_name",Stops!$1:$1,0)),IF(ISBLANK(K2),"",K2))</f>
        <v>City Hall</v>
      </c>
      <c r="L1" s="6" t="str">
        <f>_xlfn.IFNA(INDEX(Stops!$2:$1048576,MATCH(L2,Stops!$A$2:$A$1048576,0),MATCH("stop_name",Stops!$1:$1,0)),IF(ISBLANK(L2),"",L2))</f>
        <v>Broadway</v>
      </c>
      <c r="M1" s="6" t="str">
        <f>_xlfn.IFNA(INDEX(Stops!$2:$1048576,MATCH(M2,Stops!$A$2:$A$1048576,0),MATCH("stop_name",Stops!$1:$1,0)),IF(ISBLANK(M2),"",M2))</f>
        <v>Ferry Avenue</v>
      </c>
      <c r="N1" s="6" t="str">
        <f>_xlfn.IFNA(INDEX(Stops!$2:$1048576,MATCH(N2,Stops!$A$2:$A$1048576,0),MATCH("stop_name",Stops!$1:$1,0)),IF(ISBLANK(N2),"",N2))</f>
        <v>Collingswood</v>
      </c>
      <c r="O1" s="6" t="str">
        <f>_xlfn.IFNA(INDEX(Stops!$2:$1048576,MATCH(O2,Stops!$A$2:$A$1048576,0),MATCH("stop_name",Stops!$1:$1,0)),IF(ISBLANK(O2),"",O2))</f>
        <v>Westmont</v>
      </c>
      <c r="P1" s="6" t="str">
        <f>_xlfn.IFNA(INDEX(Stops!$2:$1048576,MATCH(P2,Stops!$A$2:$A$1048576,0),MATCH("stop_name",Stops!$1:$1,0)),IF(ISBLANK(P2),"",P2))</f>
        <v>Haddonfield</v>
      </c>
      <c r="Q1" s="6" t="str">
        <f>_xlfn.IFNA(INDEX(Stops!$2:$1048576,MATCH(Q2,Stops!$A$2:$A$1048576,0),MATCH("stop_name",Stops!$1:$1,0)),IF(ISBLANK(Q2),"",Q2))</f>
        <v>Woodcrest</v>
      </c>
      <c r="R1" s="6" t="str">
        <f>_xlfn.IFNA(INDEX(Stops!$2:$1048576,MATCH(R2,Stops!$A$2:$A$1048576,0),MATCH("stop_name",Stops!$1:$1,0)),IF(ISBLANK(R2),"",R2))</f>
        <v>Ashland</v>
      </c>
      <c r="S1" s="6" t="str">
        <f>_xlfn.IFNA(INDEX(Stops!$2:$1048576,MATCH(S2,Stops!$A$2:$A$1048576,0),MATCH("stop_name",Stops!$1:$1,0)),IF(ISBLANK(S2),"",S2))</f>
        <v>Lindenwold</v>
      </c>
      <c r="T1" s="7" t="str">
        <f>_xlfn.IFNA(INDEX(Stops!$2:$1048576,MATCH(T2,Stops!$A$2:$A$1048576,0),MATCH("stop_name",Stops!$1:$1,0)),IF(ISBLANK(T2),"",T2))</f>
        <v>Then Every</v>
      </c>
      <c r="U1" s="6" t="str">
        <f>_xlfn.IFNA(INDEX(Stops!$2:$1048576,MATCH(U2,Stops!$A$2:$A$1048576,0),MATCH("stop_name",Stops!$1:$1,0)),IF(ISBLANK(U2),"",U2))</f>
        <v>Until</v>
      </c>
    </row>
    <row r="2" spans="1:21" x14ac:dyDescent="0.2">
      <c r="A2" s="2" t="s">
        <v>14</v>
      </c>
      <c r="B2" s="2" t="s">
        <v>77</v>
      </c>
      <c r="C2" s="2" t="s">
        <v>24</v>
      </c>
      <c r="D2" s="2" t="s">
        <v>81</v>
      </c>
      <c r="E2" s="2" t="s">
        <v>78</v>
      </c>
      <c r="F2" s="2" t="s">
        <v>79</v>
      </c>
      <c r="G2" s="2" t="s">
        <v>140</v>
      </c>
      <c r="H2" s="2" t="s">
        <v>139</v>
      </c>
      <c r="I2" s="2" t="s">
        <v>131</v>
      </c>
      <c r="J2" s="2" t="s">
        <v>130</v>
      </c>
      <c r="K2" s="2" t="s">
        <v>128</v>
      </c>
      <c r="L2" s="2" t="s">
        <v>132</v>
      </c>
      <c r="M2" s="2" t="s">
        <v>133</v>
      </c>
      <c r="N2" s="2" t="s">
        <v>134</v>
      </c>
      <c r="O2" s="2" t="s">
        <v>135</v>
      </c>
      <c r="P2" s="2" t="s">
        <v>137</v>
      </c>
      <c r="Q2" s="2" t="s">
        <v>136</v>
      </c>
      <c r="R2" s="2" t="s">
        <v>129</v>
      </c>
      <c r="S2" s="2" t="s">
        <v>138</v>
      </c>
      <c r="T2" s="4" t="s">
        <v>83</v>
      </c>
      <c r="U2" s="2" t="s">
        <v>84</v>
      </c>
    </row>
    <row r="3" spans="1:21" x14ac:dyDescent="0.2">
      <c r="A3" t="s">
        <v>8</v>
      </c>
      <c r="B3">
        <v>0</v>
      </c>
      <c r="C3" t="s">
        <v>85</v>
      </c>
      <c r="D3" t="s">
        <v>88</v>
      </c>
      <c r="E3">
        <v>1</v>
      </c>
      <c r="F3">
        <v>1</v>
      </c>
      <c r="G3" s="1">
        <v>3.472222222222222E-3</v>
      </c>
      <c r="H3" s="1">
        <v>4.1666666666666666E-3</v>
      </c>
      <c r="I3" s="1">
        <v>4.8611111111111112E-3</v>
      </c>
      <c r="J3" s="1">
        <v>6.2499999999999995E-3</v>
      </c>
      <c r="K3" s="1">
        <v>9.7222222222222224E-3</v>
      </c>
      <c r="L3" s="1">
        <v>1.0416666666666666E-2</v>
      </c>
      <c r="M3" s="1">
        <v>1.2499999999999999E-2</v>
      </c>
      <c r="N3" s="1">
        <v>1.3888888888888888E-2</v>
      </c>
      <c r="O3" s="1">
        <v>1.5277777777777777E-2</v>
      </c>
      <c r="P3" s="1">
        <v>1.6666666666666666E-2</v>
      </c>
      <c r="Q3" s="1">
        <v>1.8749999999999999E-2</v>
      </c>
      <c r="R3" s="1">
        <v>2.013888888888889E-2</v>
      </c>
      <c r="S3" s="1">
        <v>2.2222222222222223E-2</v>
      </c>
      <c r="T3" s="5"/>
      <c r="U3" s="3"/>
    </row>
    <row r="4" spans="1:21" x14ac:dyDescent="0.2">
      <c r="A4" t="s">
        <v>8</v>
      </c>
      <c r="B4">
        <v>0</v>
      </c>
      <c r="C4" t="s">
        <v>85</v>
      </c>
      <c r="D4" t="s">
        <v>88</v>
      </c>
      <c r="E4">
        <v>1</v>
      </c>
      <c r="F4">
        <v>1</v>
      </c>
      <c r="G4" s="1">
        <v>2.3611111111111104E-2</v>
      </c>
      <c r="H4" s="1">
        <v>2.4305555555555559E-2</v>
      </c>
      <c r="I4" s="1"/>
      <c r="J4" s="1">
        <v>2.6388888888888885E-2</v>
      </c>
      <c r="K4" s="1">
        <v>2.9861111111111109E-2</v>
      </c>
      <c r="L4" s="1">
        <v>3.0555555555555551E-2</v>
      </c>
      <c r="M4" s="1">
        <v>3.2638888888888891E-2</v>
      </c>
      <c r="N4" s="1">
        <v>3.4027777777777775E-2</v>
      </c>
      <c r="O4" s="1">
        <v>3.5416666666666673E-2</v>
      </c>
      <c r="P4" s="1">
        <v>3.6805555555555557E-2</v>
      </c>
      <c r="Q4" s="1">
        <v>3.8888888888888883E-2</v>
      </c>
      <c r="R4" s="1">
        <v>4.027777777777778E-2</v>
      </c>
      <c r="S4" s="1">
        <v>4.2361111111111106E-2</v>
      </c>
      <c r="T4" s="5">
        <f>TIME(0,60,0)</f>
        <v>4.1666666666666664E-2</v>
      </c>
      <c r="U4" s="3">
        <v>0.14861111111111111</v>
      </c>
    </row>
    <row r="5" spans="1:21" x14ac:dyDescent="0.2">
      <c r="A5" t="s">
        <v>8</v>
      </c>
      <c r="B5">
        <v>0</v>
      </c>
      <c r="C5" t="s">
        <v>85</v>
      </c>
      <c r="D5" t="s">
        <v>88</v>
      </c>
      <c r="E5">
        <v>1</v>
      </c>
      <c r="F5">
        <v>1</v>
      </c>
      <c r="G5" s="1">
        <v>0.19027777777777777</v>
      </c>
      <c r="H5" s="1">
        <v>0.19097222222222221</v>
      </c>
      <c r="I5" s="1">
        <v>0.19166666666666665</v>
      </c>
      <c r="J5" s="1">
        <v>0.19305555555555554</v>
      </c>
      <c r="K5" s="1">
        <v>0.19652777777777777</v>
      </c>
      <c r="L5" s="1">
        <v>0.19722222222222222</v>
      </c>
      <c r="M5" s="1">
        <v>0.19930555555555554</v>
      </c>
      <c r="N5" s="1">
        <v>0.20069444444444443</v>
      </c>
      <c r="O5" s="1">
        <v>0.20208333333333331</v>
      </c>
      <c r="P5" s="1">
        <v>0.20347222222222219</v>
      </c>
      <c r="Q5" s="1">
        <v>0.20555555555555557</v>
      </c>
      <c r="R5" s="1">
        <v>0.20694444444444446</v>
      </c>
      <c r="S5" s="1">
        <v>0.20902777777777778</v>
      </c>
      <c r="T5" s="5"/>
    </row>
    <row r="6" spans="1:21" x14ac:dyDescent="0.2">
      <c r="A6" t="s">
        <v>8</v>
      </c>
      <c r="B6">
        <v>0</v>
      </c>
      <c r="C6" t="s">
        <v>85</v>
      </c>
      <c r="D6" t="s">
        <v>88</v>
      </c>
      <c r="E6">
        <v>1</v>
      </c>
      <c r="F6">
        <v>1</v>
      </c>
      <c r="G6" s="1">
        <f>G5+TIME(1,1,)</f>
        <v>0.23263888888888887</v>
      </c>
      <c r="H6" s="1">
        <f t="shared" ref="H6:S6" si="0">H5+TIME(1,1,)</f>
        <v>0.23333333333333331</v>
      </c>
      <c r="I6" s="1">
        <f t="shared" si="0"/>
        <v>0.23402777777777775</v>
      </c>
      <c r="J6" s="1">
        <f t="shared" si="0"/>
        <v>0.23541666666666664</v>
      </c>
      <c r="K6" s="1">
        <f t="shared" si="0"/>
        <v>0.23888888888888887</v>
      </c>
      <c r="L6" s="1">
        <f t="shared" si="0"/>
        <v>0.23958333333333331</v>
      </c>
      <c r="M6" s="1">
        <f t="shared" si="0"/>
        <v>0.24166666666666664</v>
      </c>
      <c r="N6" s="1">
        <f t="shared" si="0"/>
        <v>0.24305555555555552</v>
      </c>
      <c r="O6" s="1">
        <f t="shared" si="0"/>
        <v>0.24444444444444441</v>
      </c>
      <c r="P6" s="1">
        <f t="shared" si="0"/>
        <v>0.24583333333333329</v>
      </c>
      <c r="Q6" s="1">
        <f t="shared" si="0"/>
        <v>0.24791666666666667</v>
      </c>
      <c r="R6" s="1">
        <f t="shared" si="0"/>
        <v>0.24930555555555556</v>
      </c>
      <c r="S6" s="1">
        <f t="shared" si="0"/>
        <v>0.25138888888888888</v>
      </c>
      <c r="T6" s="5">
        <f>TIME(0,30,0)</f>
        <v>2.0833333333333332E-2</v>
      </c>
      <c r="U6" s="3">
        <v>0.2951388888888889</v>
      </c>
    </row>
    <row r="7" spans="1:21" x14ac:dyDescent="0.2">
      <c r="A7" t="s">
        <v>8</v>
      </c>
      <c r="B7">
        <v>0</v>
      </c>
      <c r="C7" t="s">
        <v>85</v>
      </c>
      <c r="D7" t="s">
        <v>88</v>
      </c>
      <c r="E7">
        <v>1</v>
      </c>
      <c r="F7">
        <v>1</v>
      </c>
      <c r="G7" s="1">
        <f>G6+TIME(,30,)</f>
        <v>0.25347222222222221</v>
      </c>
      <c r="H7" s="1">
        <f t="shared" ref="H7:S7" si="1">H6+TIME(,30,)</f>
        <v>0.25416666666666665</v>
      </c>
      <c r="I7" s="1">
        <f t="shared" si="1"/>
        <v>0.25486111111111109</v>
      </c>
      <c r="J7" s="1">
        <f t="shared" si="1"/>
        <v>0.25624999999999998</v>
      </c>
      <c r="K7" s="1">
        <f t="shared" si="1"/>
        <v>0.25972222222222219</v>
      </c>
      <c r="L7" s="1">
        <f t="shared" si="1"/>
        <v>0.26041666666666663</v>
      </c>
      <c r="M7" s="1">
        <f t="shared" si="1"/>
        <v>0.26249999999999996</v>
      </c>
      <c r="N7" s="1">
        <f t="shared" si="1"/>
        <v>0.26388888888888884</v>
      </c>
      <c r="O7" s="1">
        <f t="shared" si="1"/>
        <v>0.26527777777777772</v>
      </c>
      <c r="P7" s="1">
        <f t="shared" si="1"/>
        <v>0.26666666666666661</v>
      </c>
      <c r="Q7" s="1">
        <f t="shared" si="1"/>
        <v>0.26874999999999999</v>
      </c>
      <c r="R7" s="1">
        <f t="shared" si="1"/>
        <v>0.27013888888888887</v>
      </c>
      <c r="S7" s="1">
        <f t="shared" si="1"/>
        <v>0.2722222222222222</v>
      </c>
      <c r="T7" s="5">
        <f>TIME(0,30,0)</f>
        <v>2.0833333333333332E-2</v>
      </c>
      <c r="U7" s="3">
        <v>0.2951388888888889</v>
      </c>
    </row>
    <row r="8" spans="1:21" x14ac:dyDescent="0.2">
      <c r="A8" t="s">
        <v>8</v>
      </c>
      <c r="B8">
        <v>0</v>
      </c>
      <c r="C8" t="s">
        <v>85</v>
      </c>
      <c r="D8" t="s">
        <v>88</v>
      </c>
      <c r="E8">
        <v>1</v>
      </c>
      <c r="F8">
        <v>1</v>
      </c>
      <c r="G8" s="1">
        <v>0.30902777777777779</v>
      </c>
      <c r="H8" s="1">
        <v>0.30972222222222223</v>
      </c>
      <c r="I8" s="1">
        <v>0.31041666666666667</v>
      </c>
      <c r="J8" s="1">
        <v>0.31180555555555556</v>
      </c>
      <c r="K8" s="1">
        <v>0.31527777777777777</v>
      </c>
      <c r="L8" s="1">
        <v>0.31597222222222221</v>
      </c>
      <c r="M8" s="1">
        <v>0.31805555555555554</v>
      </c>
      <c r="N8" s="1">
        <v>0.31944444444444442</v>
      </c>
      <c r="O8" s="1">
        <v>0.3208333333333333</v>
      </c>
      <c r="P8" s="1">
        <v>0.32222222222222219</v>
      </c>
      <c r="Q8" s="1">
        <v>0.32430555555555562</v>
      </c>
      <c r="R8" s="1">
        <v>0.32569444444444451</v>
      </c>
      <c r="S8" s="1">
        <v>0.32777777777777772</v>
      </c>
      <c r="T8" s="5">
        <f>TIME(0,20,0)</f>
        <v>1.3888888888888888E-2</v>
      </c>
      <c r="U8" s="3">
        <v>0.98958333333333337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7B456-0A62-F641-98FA-150C501ACC9E}">
  <dimension ref="A1:U5"/>
  <sheetViews>
    <sheetView workbookViewId="0">
      <selection activeCell="G2" sqref="G2:S2"/>
    </sheetView>
  </sheetViews>
  <sheetFormatPr baseColWidth="10" defaultRowHeight="16" x14ac:dyDescent="0.2"/>
  <cols>
    <col min="1" max="1" width="8" customWidth="1"/>
    <col min="2" max="2" width="5" customWidth="1"/>
    <col min="3" max="3" width="10.33203125" bestFit="1" customWidth="1"/>
    <col min="4" max="4" width="15.83203125" bestFit="1" customWidth="1"/>
    <col min="5" max="6" width="4" customWidth="1"/>
    <col min="7" max="19" width="8.1640625" bestFit="1" customWidth="1"/>
    <col min="20" max="20" width="10" bestFit="1" customWidth="1"/>
    <col min="21" max="21" width="5.6640625" bestFit="1" customWidth="1"/>
  </cols>
  <sheetData>
    <row r="1" spans="1:21" ht="92" x14ac:dyDescent="0.2">
      <c r="A1" s="6" t="str">
        <f>_xlfn.IFNA(INDEX(Stops!$2:$1048576,MATCH(A2,Stops!$A$2:$A$1048576,0),MATCH("stop_name",Stops!$1:$1,0)),IF(ISBLANK(A2),"",A2))</f>
        <v>route_id</v>
      </c>
      <c r="B1" s="6" t="str">
        <f>_xlfn.IFNA(INDEX(Stops!$2:$1048576,MATCH(B2,Stops!$A$2:$A$1048576,0),MATCH("stop_name",Stops!$1:$1,0)),IF(ISBLANK(B2),"",B2))</f>
        <v>direction_id</v>
      </c>
      <c r="C1" s="6" t="str">
        <f>_xlfn.IFNA(INDEX(Stops!$2:$1048576,MATCH(C2,Stops!$A$2:$A$1048576,0),MATCH("stop_name",Stops!$1:$1,0)),IF(ISBLANK(C2),"",C2))</f>
        <v>shape_id</v>
      </c>
      <c r="D1" s="6" t="str">
        <f>_xlfn.IFNA(INDEX(Stops!$2:$1048576,MATCH(D2,Stops!$A$2:$A$1048576,0),MATCH("stop_name",Stops!$1:$1,0)),IF(ISBLANK(D2),"",D2))</f>
        <v>headsign</v>
      </c>
      <c r="E1" s="6" t="str">
        <f>_xlfn.IFNA(INDEX(Stops!$2:$1048576,MATCH(E2,Stops!$A$2:$A$1048576,0),MATCH("stop_name",Stops!$1:$1,0)),IF(ISBLANK(E2),"",E2))</f>
        <v>wheelchair_accessible</v>
      </c>
      <c r="F1" s="6" t="str">
        <f>_xlfn.IFNA(INDEX(Stops!$2:$1048576,MATCH(F2,Stops!$A$2:$A$1048576,0),MATCH("stop_name",Stops!$1:$1,0)),IF(ISBLANK(F2),"",F2))</f>
        <v>bikes_allowed</v>
      </c>
      <c r="G1" s="6" t="str">
        <f>_xlfn.IFNA(INDEX(Stops!$2:$1048576,MATCH(G2,Stops!$A$2:$A$1048576,0),MATCH("stop_name",Stops!$1:$1,0)),IF(ISBLANK(G2),"",G2))</f>
        <v>Lindenwold</v>
      </c>
      <c r="H1" s="6" t="str">
        <f>_xlfn.IFNA(INDEX(Stops!$2:$1048576,MATCH(H2,Stops!$A$2:$A$1048576,0),MATCH("stop_name",Stops!$1:$1,0)),IF(ISBLANK(H2),"",H2))</f>
        <v>Ashland</v>
      </c>
      <c r="I1" s="6" t="str">
        <f>_xlfn.IFNA(INDEX(Stops!$2:$1048576,MATCH(I2,Stops!$A$2:$A$1048576,0),MATCH("stop_name",Stops!$1:$1,0)),IF(ISBLANK(I2),"",I2))</f>
        <v>Woodcrest</v>
      </c>
      <c r="J1" s="6" t="str">
        <f>_xlfn.IFNA(INDEX(Stops!$2:$1048576,MATCH(J2,Stops!$A$2:$A$1048576,0),MATCH("stop_name",Stops!$1:$1,0)),IF(ISBLANK(J2),"",J2))</f>
        <v>Haddonfield</v>
      </c>
      <c r="K1" s="6" t="str">
        <f>_xlfn.IFNA(INDEX(Stops!$2:$1048576,MATCH(K2,Stops!$A$2:$A$1048576,0),MATCH("stop_name",Stops!$1:$1,0)),IF(ISBLANK(K2),"",K2))</f>
        <v>Westmont</v>
      </c>
      <c r="L1" s="6" t="str">
        <f>_xlfn.IFNA(INDEX(Stops!$2:$1048576,MATCH(L2,Stops!$A$2:$A$1048576,0),MATCH("stop_name",Stops!$1:$1,0)),IF(ISBLANK(L2),"",L2))</f>
        <v>Collingswood</v>
      </c>
      <c r="M1" s="6" t="str">
        <f>_xlfn.IFNA(INDEX(Stops!$2:$1048576,MATCH(M2,Stops!$A$2:$A$1048576,0),MATCH("stop_name",Stops!$1:$1,0)),IF(ISBLANK(M2),"",M2))</f>
        <v>Ferry Avenue</v>
      </c>
      <c r="N1" s="6" t="str">
        <f>_xlfn.IFNA(INDEX(Stops!$2:$1048576,MATCH(N2,Stops!$A$2:$A$1048576,0),MATCH("stop_name",Stops!$1:$1,0)),IF(ISBLANK(N2),"",N2))</f>
        <v>Broadway</v>
      </c>
      <c r="O1" s="6" t="str">
        <f>_xlfn.IFNA(INDEX(Stops!$2:$1048576,MATCH(O2,Stops!$A$2:$A$1048576,0),MATCH("stop_name",Stops!$1:$1,0)),IF(ISBLANK(O2),"",O2))</f>
        <v>City Hall</v>
      </c>
      <c r="P1" s="6" t="str">
        <f>_xlfn.IFNA(INDEX(Stops!$2:$1048576,MATCH(P2,Stops!$A$2:$A$1048576,0),MATCH("stop_name",Stops!$1:$1,0)),IF(ISBLANK(P2),"",P2))</f>
        <v>8th and Market</v>
      </c>
      <c r="Q1" s="6" t="str">
        <f>_xlfn.IFNA(INDEX(Stops!$2:$1048576,MATCH(Q2,Stops!$A$2:$A$1048576,0),MATCH("stop_name",Stops!$1:$1,0)),IF(ISBLANK(Q2),"",Q2))</f>
        <v>9-10th and Locust</v>
      </c>
      <c r="R1" s="6" t="str">
        <f>_xlfn.IFNA(INDEX(Stops!$2:$1048576,MATCH(R2,Stops!$A$2:$A$1048576,0),MATCH("stop_name",Stops!$1:$1,0)),IF(ISBLANK(R2),"",R2))</f>
        <v>12-13th and Locust</v>
      </c>
      <c r="S1" s="6" t="str">
        <f>_xlfn.IFNA(INDEX(Stops!$2:$1048576,MATCH(S2,Stops!$A$2:$A$1048576,0),MATCH("stop_name",Stops!$1:$1,0)),IF(ISBLANK(S2),"",S2))</f>
        <v>15-16th and Locust</v>
      </c>
      <c r="T1" s="7" t="str">
        <f>_xlfn.IFNA(INDEX(Stops!$2:$1048576,MATCH(T2,Stops!$A$2:$A$1048576,0),MATCH("stop_name",Stops!$1:$1,0)),IF(ISBLANK(T2),"",T2))</f>
        <v>Then Every</v>
      </c>
      <c r="U1" s="6" t="str">
        <f>_xlfn.IFNA(INDEX(Stops!$2:$1048576,MATCH(U2,Stops!$A$2:$A$1048576,0),MATCH("stop_name",Stops!$1:$1,0)),IF(ISBLANK(U2),"",U2))</f>
        <v>Until</v>
      </c>
    </row>
    <row r="2" spans="1:21" x14ac:dyDescent="0.2">
      <c r="A2" s="2" t="s">
        <v>14</v>
      </c>
      <c r="B2" s="2" t="s">
        <v>77</v>
      </c>
      <c r="C2" s="2" t="s">
        <v>24</v>
      </c>
      <c r="D2" s="2" t="s">
        <v>81</v>
      </c>
      <c r="E2" s="2" t="s">
        <v>78</v>
      </c>
      <c r="F2" s="2" t="s">
        <v>79</v>
      </c>
      <c r="G2" s="2" t="s">
        <v>138</v>
      </c>
      <c r="H2" s="2" t="s">
        <v>129</v>
      </c>
      <c r="I2" s="2" t="s">
        <v>136</v>
      </c>
      <c r="J2" s="2" t="s">
        <v>137</v>
      </c>
      <c r="K2" s="2" t="s">
        <v>135</v>
      </c>
      <c r="L2" s="2" t="s">
        <v>134</v>
      </c>
      <c r="M2" s="2" t="s">
        <v>133</v>
      </c>
      <c r="N2" s="2" t="s">
        <v>132</v>
      </c>
      <c r="O2" s="2" t="s">
        <v>128</v>
      </c>
      <c r="P2" s="2" t="s">
        <v>130</v>
      </c>
      <c r="Q2" s="2" t="s">
        <v>131</v>
      </c>
      <c r="R2" s="2" t="s">
        <v>139</v>
      </c>
      <c r="S2" s="2" t="s">
        <v>140</v>
      </c>
      <c r="T2" s="4" t="s">
        <v>83</v>
      </c>
      <c r="U2" s="2" t="s">
        <v>84</v>
      </c>
    </row>
    <row r="3" spans="1:21" x14ac:dyDescent="0.2">
      <c r="A3" t="s">
        <v>8</v>
      </c>
      <c r="B3">
        <v>1</v>
      </c>
      <c r="C3" t="s">
        <v>87</v>
      </c>
      <c r="D3" t="s">
        <v>82</v>
      </c>
      <c r="E3">
        <v>1</v>
      </c>
      <c r="F3">
        <v>1</v>
      </c>
      <c r="G3" s="1">
        <v>0</v>
      </c>
      <c r="H3" s="1">
        <v>1.3888888888888889E-3</v>
      </c>
      <c r="I3" s="1">
        <v>2.0833333333333333E-3</v>
      </c>
      <c r="J3" s="1">
        <v>4.1666666666666666E-3</v>
      </c>
      <c r="K3" s="1">
        <v>5.5555555555555558E-3</v>
      </c>
      <c r="L3" s="1">
        <v>6.9444444444444441E-3</v>
      </c>
      <c r="M3" s="1">
        <v>8.3333333333333332E-3</v>
      </c>
      <c r="N3" s="1">
        <v>1.1111111111111112E-2</v>
      </c>
      <c r="O3" s="1">
        <v>1.2499999999999999E-2</v>
      </c>
      <c r="P3" s="1">
        <v>1.5972222222222224E-2</v>
      </c>
      <c r="Q3" s="1"/>
      <c r="R3" s="1">
        <v>1.8055555555555557E-2</v>
      </c>
      <c r="S3" s="1">
        <v>1.8749999999999999E-2</v>
      </c>
      <c r="T3" s="5">
        <f>TIME(0,60,0)</f>
        <v>4.1666666666666664E-2</v>
      </c>
      <c r="U3" s="3">
        <v>0.125</v>
      </c>
    </row>
    <row r="4" spans="1:21" x14ac:dyDescent="0.2">
      <c r="A4" t="s">
        <v>8</v>
      </c>
      <c r="B4">
        <v>1</v>
      </c>
      <c r="C4" t="s">
        <v>87</v>
      </c>
      <c r="D4" t="s">
        <v>82</v>
      </c>
      <c r="E4">
        <v>1</v>
      </c>
      <c r="F4">
        <v>1</v>
      </c>
      <c r="G4" s="1">
        <v>0.16666666666666666</v>
      </c>
      <c r="H4" s="1">
        <v>0.16805555555555554</v>
      </c>
      <c r="I4" s="1">
        <v>0.16874999999999998</v>
      </c>
      <c r="J4" s="1">
        <v>0.17083333333333331</v>
      </c>
      <c r="K4" s="1">
        <v>0.17222222222222225</v>
      </c>
      <c r="L4" s="1">
        <v>0.17361111111111113</v>
      </c>
      <c r="M4" s="1">
        <v>0.17500000000000002</v>
      </c>
      <c r="N4" s="1">
        <v>0.17777777777777778</v>
      </c>
      <c r="O4" s="1">
        <v>0.17916666666666667</v>
      </c>
      <c r="P4" s="1">
        <v>0.18263888888888891</v>
      </c>
      <c r="Q4" s="1">
        <v>0.18402777777777779</v>
      </c>
      <c r="R4" s="1">
        <v>0.18472222222222223</v>
      </c>
      <c r="S4" s="1">
        <v>0.18541666666666667</v>
      </c>
      <c r="T4" s="5"/>
    </row>
    <row r="5" spans="1:21" x14ac:dyDescent="0.2">
      <c r="A5" t="s">
        <v>8</v>
      </c>
      <c r="B5">
        <v>1</v>
      </c>
      <c r="C5" t="s">
        <v>87</v>
      </c>
      <c r="D5" t="s">
        <v>82</v>
      </c>
      <c r="E5">
        <v>1</v>
      </c>
      <c r="F5">
        <v>1</v>
      </c>
      <c r="G5" s="1">
        <v>0.20833333333333334</v>
      </c>
      <c r="H5" s="1">
        <v>0.20972222222222223</v>
      </c>
      <c r="I5" s="1">
        <v>0.21041666666666667</v>
      </c>
      <c r="J5" s="1">
        <v>0.21249999999999999</v>
      </c>
      <c r="K5" s="1">
        <v>0.21388888888888891</v>
      </c>
      <c r="L5" s="1">
        <v>0.21527777777777779</v>
      </c>
      <c r="M5" s="1">
        <v>0.21666666666666667</v>
      </c>
      <c r="N5" s="1">
        <v>0.21944444444444444</v>
      </c>
      <c r="O5" s="1">
        <v>0.22083333333333333</v>
      </c>
      <c r="P5" s="1">
        <v>0.22430555555555556</v>
      </c>
      <c r="Q5" s="1">
        <v>0.22569444444444445</v>
      </c>
      <c r="R5" s="1">
        <v>0.22638888888888889</v>
      </c>
      <c r="S5" s="1">
        <v>0.22708333333333333</v>
      </c>
      <c r="T5" s="5">
        <f>TIME(0,30,0)</f>
        <v>2.0833333333333332E-2</v>
      </c>
      <c r="U5" s="3">
        <v>0.98263888888888884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25D99-6FDE-B643-950A-4E8BCCF11A7B}">
  <dimension ref="A1:U6"/>
  <sheetViews>
    <sheetView workbookViewId="0">
      <selection activeCell="G2" sqref="G2:S2"/>
    </sheetView>
  </sheetViews>
  <sheetFormatPr baseColWidth="10" defaultRowHeight="16" x14ac:dyDescent="0.2"/>
  <cols>
    <col min="1" max="1" width="8" customWidth="1"/>
    <col min="2" max="2" width="5" customWidth="1"/>
    <col min="3" max="3" width="10.33203125" bestFit="1" customWidth="1"/>
    <col min="4" max="4" width="15.83203125" bestFit="1" customWidth="1"/>
    <col min="5" max="6" width="4" customWidth="1"/>
    <col min="7" max="19" width="8.1640625" bestFit="1" customWidth="1"/>
    <col min="20" max="20" width="10" bestFit="1" customWidth="1"/>
    <col min="21" max="21" width="5.6640625" bestFit="1" customWidth="1"/>
  </cols>
  <sheetData>
    <row r="1" spans="1:21" ht="92" x14ac:dyDescent="0.2">
      <c r="A1" s="6" t="str">
        <f>_xlfn.IFNA(INDEX(Stops!$2:$1048576,MATCH(A2,Stops!$A$2:$A$1048576,0),MATCH("stop_name",Stops!$1:$1,0)),IF(ISBLANK(A2),"",A2))</f>
        <v>route_id</v>
      </c>
      <c r="B1" s="6" t="str">
        <f>_xlfn.IFNA(INDEX(Stops!$2:$1048576,MATCH(B2,Stops!$A$2:$A$1048576,0),MATCH("stop_name",Stops!$1:$1,0)),IF(ISBLANK(B2),"",B2))</f>
        <v>direction_id</v>
      </c>
      <c r="C1" s="6" t="str">
        <f>_xlfn.IFNA(INDEX(Stops!$2:$1048576,MATCH(C2,Stops!$A$2:$A$1048576,0),MATCH("stop_name",Stops!$1:$1,0)),IF(ISBLANK(C2),"",C2))</f>
        <v>shape_id</v>
      </c>
      <c r="D1" s="6" t="str">
        <f>_xlfn.IFNA(INDEX(Stops!$2:$1048576,MATCH(D2,Stops!$A$2:$A$1048576,0),MATCH("stop_name",Stops!$1:$1,0)),IF(ISBLANK(D2),"",D2))</f>
        <v>headsign</v>
      </c>
      <c r="E1" s="6" t="str">
        <f>_xlfn.IFNA(INDEX(Stops!$2:$1048576,MATCH(E2,Stops!$A$2:$A$1048576,0),MATCH("stop_name",Stops!$1:$1,0)),IF(ISBLANK(E2),"",E2))</f>
        <v>wheelchair_accessible</v>
      </c>
      <c r="F1" s="6" t="str">
        <f>_xlfn.IFNA(INDEX(Stops!$2:$1048576,MATCH(F2,Stops!$A$2:$A$1048576,0),MATCH("stop_name",Stops!$1:$1,0)),IF(ISBLANK(F2),"",F2))</f>
        <v>bikes_allowed</v>
      </c>
      <c r="G1" s="6" t="str">
        <f>_xlfn.IFNA(INDEX(Stops!$2:$1048576,MATCH(G2,Stops!$A$2:$A$1048576,0),MATCH("stop_name",Stops!$1:$1,0)),IF(ISBLANK(G2),"",G2))</f>
        <v>15-16th and Locust</v>
      </c>
      <c r="H1" s="6" t="str">
        <f>_xlfn.IFNA(INDEX(Stops!$2:$1048576,MATCH(H2,Stops!$A$2:$A$1048576,0),MATCH("stop_name",Stops!$1:$1,0)),IF(ISBLANK(H2),"",H2))</f>
        <v>12-13th and Locust</v>
      </c>
      <c r="I1" s="6" t="str">
        <f>_xlfn.IFNA(INDEX(Stops!$2:$1048576,MATCH(I2,Stops!$A$2:$A$1048576,0),MATCH("stop_name",Stops!$1:$1,0)),IF(ISBLANK(I2),"",I2))</f>
        <v>9-10th and Locust</v>
      </c>
      <c r="J1" s="6" t="str">
        <f>_xlfn.IFNA(INDEX(Stops!$2:$1048576,MATCH(J2,Stops!$A$2:$A$1048576,0),MATCH("stop_name",Stops!$1:$1,0)),IF(ISBLANK(J2),"",J2))</f>
        <v>8th and Market</v>
      </c>
      <c r="K1" s="6" t="str">
        <f>_xlfn.IFNA(INDEX(Stops!$2:$1048576,MATCH(K2,Stops!$A$2:$A$1048576,0),MATCH("stop_name",Stops!$1:$1,0)),IF(ISBLANK(K2),"",K2))</f>
        <v>City Hall</v>
      </c>
      <c r="L1" s="6" t="str">
        <f>_xlfn.IFNA(INDEX(Stops!$2:$1048576,MATCH(L2,Stops!$A$2:$A$1048576,0),MATCH("stop_name",Stops!$1:$1,0)),IF(ISBLANK(L2),"",L2))</f>
        <v>Broadway</v>
      </c>
      <c r="M1" s="6" t="str">
        <f>_xlfn.IFNA(INDEX(Stops!$2:$1048576,MATCH(M2,Stops!$A$2:$A$1048576,0),MATCH("stop_name",Stops!$1:$1,0)),IF(ISBLANK(M2),"",M2))</f>
        <v>Ferry Avenue</v>
      </c>
      <c r="N1" s="6" t="str">
        <f>_xlfn.IFNA(INDEX(Stops!$2:$1048576,MATCH(N2,Stops!$A$2:$A$1048576,0),MATCH("stop_name",Stops!$1:$1,0)),IF(ISBLANK(N2),"",N2))</f>
        <v>Collingswood</v>
      </c>
      <c r="O1" s="6" t="str">
        <f>_xlfn.IFNA(INDEX(Stops!$2:$1048576,MATCH(O2,Stops!$A$2:$A$1048576,0),MATCH("stop_name",Stops!$1:$1,0)),IF(ISBLANK(O2),"",O2))</f>
        <v>Westmont</v>
      </c>
      <c r="P1" s="6" t="str">
        <f>_xlfn.IFNA(INDEX(Stops!$2:$1048576,MATCH(P2,Stops!$A$2:$A$1048576,0),MATCH("stop_name",Stops!$1:$1,0)),IF(ISBLANK(P2),"",P2))</f>
        <v>Haddonfield</v>
      </c>
      <c r="Q1" s="6" t="str">
        <f>_xlfn.IFNA(INDEX(Stops!$2:$1048576,MATCH(Q2,Stops!$A$2:$A$1048576,0),MATCH("stop_name",Stops!$1:$1,0)),IF(ISBLANK(Q2),"",Q2))</f>
        <v>Woodcrest</v>
      </c>
      <c r="R1" s="6" t="str">
        <f>_xlfn.IFNA(INDEX(Stops!$2:$1048576,MATCH(R2,Stops!$A$2:$A$1048576,0),MATCH("stop_name",Stops!$1:$1,0)),IF(ISBLANK(R2),"",R2))</f>
        <v>Ashland</v>
      </c>
      <c r="S1" s="6" t="str">
        <f>_xlfn.IFNA(INDEX(Stops!$2:$1048576,MATCH(S2,Stops!$A$2:$A$1048576,0),MATCH("stop_name",Stops!$1:$1,0)),IF(ISBLANK(S2),"",S2))</f>
        <v>Lindenwold</v>
      </c>
      <c r="T1" s="7" t="str">
        <f>_xlfn.IFNA(INDEX(Stops!$2:$1048576,MATCH(T2,Stops!$A$2:$A$1048576,0),MATCH("stop_name",Stops!$1:$1,0)),IF(ISBLANK(T2),"",T2))</f>
        <v>Then Every</v>
      </c>
      <c r="U1" s="6" t="str">
        <f>_xlfn.IFNA(INDEX(Stops!$2:$1048576,MATCH(U2,Stops!$A$2:$A$1048576,0),MATCH("stop_name",Stops!$1:$1,0)),IF(ISBLANK(U2),"",U2))</f>
        <v>Until</v>
      </c>
    </row>
    <row r="2" spans="1:21" x14ac:dyDescent="0.2">
      <c r="A2" s="2" t="s">
        <v>14</v>
      </c>
      <c r="B2" s="2" t="s">
        <v>77</v>
      </c>
      <c r="C2" s="2" t="s">
        <v>24</v>
      </c>
      <c r="D2" s="2" t="s">
        <v>81</v>
      </c>
      <c r="E2" s="2" t="s">
        <v>78</v>
      </c>
      <c r="F2" s="2" t="s">
        <v>79</v>
      </c>
      <c r="G2" s="2" t="s">
        <v>140</v>
      </c>
      <c r="H2" s="2" t="s">
        <v>139</v>
      </c>
      <c r="I2" s="2" t="s">
        <v>131</v>
      </c>
      <c r="J2" s="2" t="s">
        <v>130</v>
      </c>
      <c r="K2" s="2" t="s">
        <v>128</v>
      </c>
      <c r="L2" s="2" t="s">
        <v>132</v>
      </c>
      <c r="M2" s="2" t="s">
        <v>133</v>
      </c>
      <c r="N2" s="2" t="s">
        <v>134</v>
      </c>
      <c r="O2" s="2" t="s">
        <v>135</v>
      </c>
      <c r="P2" s="2" t="s">
        <v>137</v>
      </c>
      <c r="Q2" s="2" t="s">
        <v>136</v>
      </c>
      <c r="R2" s="2" t="s">
        <v>129</v>
      </c>
      <c r="S2" s="2" t="s">
        <v>138</v>
      </c>
      <c r="T2" s="4" t="s">
        <v>83</v>
      </c>
      <c r="U2" s="2" t="s">
        <v>84</v>
      </c>
    </row>
    <row r="3" spans="1:21" x14ac:dyDescent="0.2">
      <c r="A3" t="s">
        <v>8</v>
      </c>
      <c r="B3">
        <v>0</v>
      </c>
      <c r="C3" t="s">
        <v>85</v>
      </c>
      <c r="D3" t="s">
        <v>88</v>
      </c>
      <c r="E3">
        <v>1</v>
      </c>
      <c r="F3">
        <v>1</v>
      </c>
      <c r="G3" s="1">
        <v>3.472222222222222E-3</v>
      </c>
      <c r="H3" s="1">
        <v>4.1666666666666666E-3</v>
      </c>
      <c r="I3" s="1">
        <v>4.8611111111111112E-3</v>
      </c>
      <c r="J3" s="1">
        <v>6.2499999999999995E-3</v>
      </c>
      <c r="K3" s="1">
        <v>9.7222222222222224E-3</v>
      </c>
      <c r="L3" s="1">
        <v>1.0416666666666666E-2</v>
      </c>
      <c r="M3" s="1">
        <v>1.2499999999999999E-2</v>
      </c>
      <c r="N3" s="1">
        <v>1.3888888888888888E-2</v>
      </c>
      <c r="O3" s="1">
        <v>1.5277777777777777E-2</v>
      </c>
      <c r="P3" s="1">
        <v>1.6666666666666666E-2</v>
      </c>
      <c r="Q3" s="1">
        <v>1.8749999999999999E-2</v>
      </c>
      <c r="R3" s="1">
        <v>2.013888888888889E-2</v>
      </c>
      <c r="S3" s="1">
        <v>2.2222222222222223E-2</v>
      </c>
      <c r="T3" s="5"/>
      <c r="U3" s="3"/>
    </row>
    <row r="4" spans="1:21" x14ac:dyDescent="0.2">
      <c r="A4" t="s">
        <v>8</v>
      </c>
      <c r="B4">
        <v>0</v>
      </c>
      <c r="C4" t="s">
        <v>85</v>
      </c>
      <c r="D4" t="s">
        <v>88</v>
      </c>
      <c r="E4">
        <v>1</v>
      </c>
      <c r="F4">
        <v>1</v>
      </c>
      <c r="G4" s="1">
        <v>2.361111111111111E-2</v>
      </c>
      <c r="H4" s="1">
        <v>2.4305555555555556E-2</v>
      </c>
      <c r="I4" s="1"/>
      <c r="J4" s="1">
        <v>2.6388888888888889E-2</v>
      </c>
      <c r="K4" s="1">
        <v>2.9861111111111113E-2</v>
      </c>
      <c r="L4" s="1">
        <v>3.0555555555555555E-2</v>
      </c>
      <c r="M4" s="1">
        <v>3.2638888888888891E-2</v>
      </c>
      <c r="N4" s="1">
        <v>3.4027777777777775E-2</v>
      </c>
      <c r="O4" s="1">
        <v>3.5416666666666666E-2</v>
      </c>
      <c r="P4" s="1">
        <v>3.6805555555555557E-2</v>
      </c>
      <c r="Q4" s="1">
        <v>3.888888888888889E-2</v>
      </c>
      <c r="R4" s="1">
        <v>4.027777777777778E-2</v>
      </c>
      <c r="S4" s="1">
        <v>4.2361111111111106E-2</v>
      </c>
      <c r="T4" s="5">
        <f>TIME(0,60,0)</f>
        <v>4.1666666666666664E-2</v>
      </c>
      <c r="U4" s="3">
        <v>0.14861111111111111</v>
      </c>
    </row>
    <row r="5" spans="1:21" x14ac:dyDescent="0.2">
      <c r="A5" t="s">
        <v>8</v>
      </c>
      <c r="B5">
        <v>0</v>
      </c>
      <c r="C5" t="s">
        <v>85</v>
      </c>
      <c r="D5" t="s">
        <v>88</v>
      </c>
      <c r="E5">
        <v>1</v>
      </c>
      <c r="F5">
        <v>1</v>
      </c>
      <c r="G5" s="1">
        <v>0.19027777777777777</v>
      </c>
      <c r="H5" s="1">
        <v>0.19097222222222221</v>
      </c>
      <c r="I5" s="1">
        <v>0.19166666666666665</v>
      </c>
      <c r="J5" s="1">
        <v>0.19305555555555554</v>
      </c>
      <c r="K5" s="1">
        <v>0.19652777777777777</v>
      </c>
      <c r="L5" s="1">
        <v>0.19722222222222222</v>
      </c>
      <c r="M5" s="1">
        <v>0.19930555555555554</v>
      </c>
      <c r="N5" s="1">
        <v>0.20069444444444443</v>
      </c>
      <c r="O5" s="1">
        <v>0.20208333333333331</v>
      </c>
      <c r="P5" s="1">
        <v>0.20347222222222219</v>
      </c>
      <c r="Q5" s="1">
        <v>0.20555555555555557</v>
      </c>
      <c r="R5" s="1">
        <v>0.20694444444444446</v>
      </c>
      <c r="S5" s="1">
        <v>0.20902777777777778</v>
      </c>
      <c r="T5" s="5"/>
    </row>
    <row r="6" spans="1:21" x14ac:dyDescent="0.2">
      <c r="A6" t="s">
        <v>8</v>
      </c>
      <c r="B6">
        <v>0</v>
      </c>
      <c r="C6" t="s">
        <v>85</v>
      </c>
      <c r="D6" t="s">
        <v>88</v>
      </c>
      <c r="E6">
        <v>1</v>
      </c>
      <c r="F6">
        <v>1</v>
      </c>
      <c r="G6" s="1">
        <v>0.23263888888888887</v>
      </c>
      <c r="H6" s="1">
        <v>0.23333333333333331</v>
      </c>
      <c r="I6" s="1">
        <v>0.23402777777777781</v>
      </c>
      <c r="J6" s="1">
        <v>0.23541666666666669</v>
      </c>
      <c r="K6" s="1">
        <v>0.2388888888888889</v>
      </c>
      <c r="L6" s="1">
        <v>0.23958333333333334</v>
      </c>
      <c r="M6" s="1">
        <v>0.24166666666666667</v>
      </c>
      <c r="N6" s="1">
        <v>0.24305555555555555</v>
      </c>
      <c r="O6" s="1">
        <v>0.24444444444444446</v>
      </c>
      <c r="P6" s="1">
        <v>0.24583333333333335</v>
      </c>
      <c r="Q6" s="1">
        <v>0.24791666666666667</v>
      </c>
      <c r="R6" s="1">
        <v>0.24930555555555556</v>
      </c>
      <c r="S6" s="1">
        <v>0.25138888888888888</v>
      </c>
      <c r="T6" s="5">
        <f>TIME(0,30,0)</f>
        <v>2.0833333333333332E-2</v>
      </c>
      <c r="U6" s="3">
        <v>0.98263888888888884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2076F-B6EA-2747-906D-A69F93838364}">
  <dimension ref="A1:U13"/>
  <sheetViews>
    <sheetView workbookViewId="0">
      <selection activeCell="G2" sqref="G2:S2"/>
    </sheetView>
  </sheetViews>
  <sheetFormatPr baseColWidth="10" defaultRowHeight="16" x14ac:dyDescent="0.2"/>
  <cols>
    <col min="1" max="1" width="8" customWidth="1"/>
    <col min="2" max="2" width="5" customWidth="1"/>
    <col min="3" max="3" width="10.33203125" bestFit="1" customWidth="1"/>
    <col min="4" max="4" width="15.83203125" bestFit="1" customWidth="1"/>
    <col min="5" max="6" width="4" customWidth="1"/>
    <col min="7" max="19" width="8.1640625" bestFit="1" customWidth="1"/>
    <col min="20" max="20" width="10" bestFit="1" customWidth="1"/>
    <col min="21" max="21" width="5.6640625" bestFit="1" customWidth="1"/>
  </cols>
  <sheetData>
    <row r="1" spans="1:21" ht="92" x14ac:dyDescent="0.2">
      <c r="A1" s="6" t="str">
        <f>_xlfn.IFNA(INDEX(Stops!$2:$1048576,MATCH(A2,Stops!$A$2:$A$1048576,0),MATCH("stop_name",Stops!$1:$1,0)),IF(ISBLANK(A2),"",A2))</f>
        <v>route_id</v>
      </c>
      <c r="B1" s="6" t="str">
        <f>_xlfn.IFNA(INDEX(Stops!$2:$1048576,MATCH(B2,Stops!$A$2:$A$1048576,0),MATCH("stop_name",Stops!$1:$1,0)),IF(ISBLANK(B2),"",B2))</f>
        <v>direction_id</v>
      </c>
      <c r="C1" s="6" t="str">
        <f>_xlfn.IFNA(INDEX(Stops!$2:$1048576,MATCH(C2,Stops!$A$2:$A$1048576,0),MATCH("stop_name",Stops!$1:$1,0)),IF(ISBLANK(C2),"",C2))</f>
        <v>shape_id</v>
      </c>
      <c r="D1" s="6" t="str">
        <f>_xlfn.IFNA(INDEX(Stops!$2:$1048576,MATCH(D2,Stops!$A$2:$A$1048576,0),MATCH("stop_name",Stops!$1:$1,0)),IF(ISBLANK(D2),"",D2))</f>
        <v>headsign</v>
      </c>
      <c r="E1" s="6" t="str">
        <f>_xlfn.IFNA(INDEX(Stops!$2:$1048576,MATCH(E2,Stops!$A$2:$A$1048576,0),MATCH("stop_name",Stops!$1:$1,0)),IF(ISBLANK(E2),"",E2))</f>
        <v>wheelchair_accessible</v>
      </c>
      <c r="F1" s="6" t="str">
        <f>_xlfn.IFNA(INDEX(Stops!$2:$1048576,MATCH(F2,Stops!$A$2:$A$1048576,0),MATCH("stop_name",Stops!$1:$1,0)),IF(ISBLANK(F2),"",F2))</f>
        <v>bikes_allowed</v>
      </c>
      <c r="G1" s="6" t="str">
        <f>_xlfn.IFNA(INDEX(Stops!$2:$1048576,MATCH(G2,Stops!$A$2:$A$1048576,0),MATCH("stop_name",Stops!$1:$1,0)),IF(ISBLANK(G2),"",G2))</f>
        <v>15-16th and Locust</v>
      </c>
      <c r="H1" s="6" t="str">
        <f>_xlfn.IFNA(INDEX(Stops!$2:$1048576,MATCH(H2,Stops!$A$2:$A$1048576,0),MATCH("stop_name",Stops!$1:$1,0)),IF(ISBLANK(H2),"",H2))</f>
        <v>12-13th and Locust</v>
      </c>
      <c r="I1" s="6" t="str">
        <f>_xlfn.IFNA(INDEX(Stops!$2:$1048576,MATCH(I2,Stops!$A$2:$A$1048576,0),MATCH("stop_name",Stops!$1:$1,0)),IF(ISBLANK(I2),"",I2))</f>
        <v>9-10th and Locust</v>
      </c>
      <c r="J1" s="6" t="str">
        <f>_xlfn.IFNA(INDEX(Stops!$2:$1048576,MATCH(J2,Stops!$A$2:$A$1048576,0),MATCH("stop_name",Stops!$1:$1,0)),IF(ISBLANK(J2),"",J2))</f>
        <v>8th and Market</v>
      </c>
      <c r="K1" s="6" t="str">
        <f>_xlfn.IFNA(INDEX(Stops!$2:$1048576,MATCH(K2,Stops!$A$2:$A$1048576,0),MATCH("stop_name",Stops!$1:$1,0)),IF(ISBLANK(K2),"",K2))</f>
        <v>City Hall</v>
      </c>
      <c r="L1" s="6" t="str">
        <f>_xlfn.IFNA(INDEX(Stops!$2:$1048576,MATCH(L2,Stops!$A$2:$A$1048576,0),MATCH("stop_name",Stops!$1:$1,0)),IF(ISBLANK(L2),"",L2))</f>
        <v>Broadway</v>
      </c>
      <c r="M1" s="6" t="str">
        <f>_xlfn.IFNA(INDEX(Stops!$2:$1048576,MATCH(M2,Stops!$A$2:$A$1048576,0),MATCH("stop_name",Stops!$1:$1,0)),IF(ISBLANK(M2),"",M2))</f>
        <v>Ferry Avenue</v>
      </c>
      <c r="N1" s="6" t="str">
        <f>_xlfn.IFNA(INDEX(Stops!$2:$1048576,MATCH(N2,Stops!$A$2:$A$1048576,0),MATCH("stop_name",Stops!$1:$1,0)),IF(ISBLANK(N2),"",N2))</f>
        <v>Collingswood</v>
      </c>
      <c r="O1" s="6" t="str">
        <f>_xlfn.IFNA(INDEX(Stops!$2:$1048576,MATCH(O2,Stops!$A$2:$A$1048576,0),MATCH("stop_name",Stops!$1:$1,0)),IF(ISBLANK(O2),"",O2))</f>
        <v>Westmont</v>
      </c>
      <c r="P1" s="6" t="str">
        <f>_xlfn.IFNA(INDEX(Stops!$2:$1048576,MATCH(P2,Stops!$A$2:$A$1048576,0),MATCH("stop_name",Stops!$1:$1,0)),IF(ISBLANK(P2),"",P2))</f>
        <v>Haddonfield</v>
      </c>
      <c r="Q1" s="6" t="str">
        <f>_xlfn.IFNA(INDEX(Stops!$2:$1048576,MATCH(Q2,Stops!$A$2:$A$1048576,0),MATCH("stop_name",Stops!$1:$1,0)),IF(ISBLANK(Q2),"",Q2))</f>
        <v>Woodcrest</v>
      </c>
      <c r="R1" s="6" t="str">
        <f>_xlfn.IFNA(INDEX(Stops!$2:$1048576,MATCH(R2,Stops!$A$2:$A$1048576,0),MATCH("stop_name",Stops!$1:$1,0)),IF(ISBLANK(R2),"",R2))</f>
        <v>Ashland</v>
      </c>
      <c r="S1" s="6" t="str">
        <f>_xlfn.IFNA(INDEX(Stops!$2:$1048576,MATCH(S2,Stops!$A$2:$A$1048576,0),MATCH("stop_name",Stops!$1:$1,0)),IF(ISBLANK(S2),"",S2))</f>
        <v>Lindenwold</v>
      </c>
      <c r="T1" s="7" t="str">
        <f>_xlfn.IFNA(INDEX(Stops!$2:$1048576,MATCH(T2,Stops!$A$2:$A$1048576,0),MATCH("stop_name",Stops!$1:$1,0)),IF(ISBLANK(T2),"",T2))</f>
        <v>Then Every</v>
      </c>
      <c r="U1" s="6" t="str">
        <f>_xlfn.IFNA(INDEX(Stops!$2:$1048576,MATCH(U2,Stops!$A$2:$A$1048576,0),MATCH("stop_name",Stops!$1:$1,0)),IF(ISBLANK(U2),"",U2))</f>
        <v>Until</v>
      </c>
    </row>
    <row r="2" spans="1:21" x14ac:dyDescent="0.2">
      <c r="A2" s="2" t="s">
        <v>14</v>
      </c>
      <c r="B2" s="2" t="s">
        <v>77</v>
      </c>
      <c r="C2" s="2" t="s">
        <v>24</v>
      </c>
      <c r="D2" s="2" t="s">
        <v>81</v>
      </c>
      <c r="E2" s="2" t="s">
        <v>78</v>
      </c>
      <c r="F2" s="2" t="s">
        <v>79</v>
      </c>
      <c r="G2" s="2" t="s">
        <v>140</v>
      </c>
      <c r="H2" s="2" t="s">
        <v>139</v>
      </c>
      <c r="I2" s="2" t="s">
        <v>131</v>
      </c>
      <c r="J2" s="2" t="s">
        <v>130</v>
      </c>
      <c r="K2" s="2" t="s">
        <v>128</v>
      </c>
      <c r="L2" s="2" t="s">
        <v>132</v>
      </c>
      <c r="M2" s="2" t="s">
        <v>133</v>
      </c>
      <c r="N2" s="2" t="s">
        <v>134</v>
      </c>
      <c r="O2" s="2" t="s">
        <v>135</v>
      </c>
      <c r="P2" s="2" t="s">
        <v>137</v>
      </c>
      <c r="Q2" s="2" t="s">
        <v>136</v>
      </c>
      <c r="R2" s="2" t="s">
        <v>129</v>
      </c>
      <c r="S2" s="2" t="s">
        <v>138</v>
      </c>
      <c r="T2" s="4" t="s">
        <v>83</v>
      </c>
      <c r="U2" s="2" t="s">
        <v>84</v>
      </c>
    </row>
    <row r="3" spans="1:21" x14ac:dyDescent="0.2">
      <c r="A3" t="s">
        <v>8</v>
      </c>
      <c r="B3">
        <v>0</v>
      </c>
      <c r="C3" t="s">
        <v>85</v>
      </c>
      <c r="D3" t="s">
        <v>88</v>
      </c>
      <c r="E3">
        <v>1</v>
      </c>
      <c r="F3">
        <v>1</v>
      </c>
      <c r="G3" s="1">
        <v>3.472222222222222E-3</v>
      </c>
      <c r="H3" s="1">
        <v>4.1666666666666666E-3</v>
      </c>
      <c r="I3" s="1">
        <v>4.8611111111111112E-3</v>
      </c>
      <c r="J3" s="1">
        <v>6.2499999999999995E-3</v>
      </c>
      <c r="K3" s="1">
        <v>9.7222222222222224E-3</v>
      </c>
      <c r="L3" s="1">
        <v>1.0416666666666666E-2</v>
      </c>
      <c r="M3" s="1">
        <v>1.2499999999999999E-2</v>
      </c>
      <c r="N3" s="1">
        <v>1.3888888888888888E-2</v>
      </c>
      <c r="O3" s="1">
        <v>1.5277777777777777E-2</v>
      </c>
      <c r="P3" s="1">
        <v>1.6666666666666666E-2</v>
      </c>
      <c r="Q3" s="1">
        <v>1.8749999999999999E-2</v>
      </c>
      <c r="R3" s="1">
        <v>2.013888888888889E-2</v>
      </c>
      <c r="S3" s="1">
        <v>2.2222222222222223E-2</v>
      </c>
      <c r="T3" s="5"/>
      <c r="U3" s="3"/>
    </row>
    <row r="4" spans="1:21" x14ac:dyDescent="0.2">
      <c r="A4" t="s">
        <v>8</v>
      </c>
      <c r="B4">
        <v>0</v>
      </c>
      <c r="C4" t="s">
        <v>85</v>
      </c>
      <c r="D4" t="s">
        <v>88</v>
      </c>
      <c r="E4">
        <v>1</v>
      </c>
      <c r="F4">
        <v>1</v>
      </c>
      <c r="G4" s="1">
        <v>2.6388888888888889E-2</v>
      </c>
      <c r="H4" s="1">
        <v>2.7083333333333334E-2</v>
      </c>
      <c r="I4" s="1"/>
      <c r="J4" s="1">
        <v>2.9166666666666667E-2</v>
      </c>
      <c r="K4" s="1">
        <v>3.2638888888888891E-2</v>
      </c>
      <c r="L4" s="1">
        <v>3.3333333333333333E-2</v>
      </c>
      <c r="M4" s="1">
        <v>3.5416666666666666E-2</v>
      </c>
      <c r="N4" s="1">
        <v>3.680555555555555E-2</v>
      </c>
      <c r="O4" s="1">
        <v>3.8194444444444441E-2</v>
      </c>
      <c r="P4" s="1">
        <v>3.9583333333333331E-2</v>
      </c>
      <c r="Q4" s="1">
        <v>4.1666666666666664E-2</v>
      </c>
      <c r="R4" s="1">
        <v>4.3055555555555555E-2</v>
      </c>
      <c r="S4" s="1">
        <v>4.5138888888888881E-2</v>
      </c>
      <c r="T4" s="5"/>
      <c r="U4" s="3"/>
    </row>
    <row r="5" spans="1:21" x14ac:dyDescent="0.2">
      <c r="A5" t="s">
        <v>8</v>
      </c>
      <c r="B5">
        <v>0</v>
      </c>
      <c r="C5" t="s">
        <v>85</v>
      </c>
      <c r="D5" t="s">
        <v>88</v>
      </c>
      <c r="E5">
        <v>1</v>
      </c>
      <c r="F5">
        <v>1</v>
      </c>
      <c r="G5" s="1">
        <v>6.5277777777777768E-2</v>
      </c>
      <c r="H5" s="1">
        <v>6.5972222222222224E-2</v>
      </c>
      <c r="I5" s="1"/>
      <c r="J5" s="1">
        <v>6.805555555555555E-2</v>
      </c>
      <c r="K5" s="1">
        <v>7.1527777777777773E-2</v>
      </c>
      <c r="L5" s="1">
        <v>7.2222222222222215E-2</v>
      </c>
      <c r="M5" s="1">
        <v>7.4305555555555555E-2</v>
      </c>
      <c r="N5" s="1">
        <v>7.5694444444444439E-2</v>
      </c>
      <c r="O5" s="1">
        <v>7.7083333333333337E-2</v>
      </c>
      <c r="P5" s="1">
        <v>7.8472222222222221E-2</v>
      </c>
      <c r="Q5" s="1">
        <v>8.0555555555555547E-2</v>
      </c>
      <c r="R5" s="1">
        <v>8.1944444444444445E-2</v>
      </c>
      <c r="S5" s="1">
        <v>8.4027777777777771E-2</v>
      </c>
      <c r="T5" s="5">
        <f>TIME(0,60,0)</f>
        <v>4.1666666666666664E-2</v>
      </c>
      <c r="U5" s="3">
        <v>0.14861111111111111</v>
      </c>
    </row>
    <row r="6" spans="1:21" x14ac:dyDescent="0.2">
      <c r="A6" t="s">
        <v>8</v>
      </c>
      <c r="B6">
        <v>0</v>
      </c>
      <c r="C6" t="s">
        <v>85</v>
      </c>
      <c r="D6" t="s">
        <v>88</v>
      </c>
      <c r="E6">
        <v>1</v>
      </c>
      <c r="F6">
        <v>1</v>
      </c>
      <c r="G6" s="1">
        <v>0.19027777777777777</v>
      </c>
      <c r="H6" s="1">
        <v>0.19097222222222221</v>
      </c>
      <c r="I6" s="1">
        <v>0.19166666666666665</v>
      </c>
      <c r="J6" s="1">
        <v>0.19305555555555554</v>
      </c>
      <c r="K6" s="1">
        <v>0.19652777777777777</v>
      </c>
      <c r="L6" s="1">
        <v>0.19722222222222222</v>
      </c>
      <c r="M6" s="1">
        <v>0.19930555555555554</v>
      </c>
      <c r="N6" s="1">
        <v>0.20069444444444443</v>
      </c>
      <c r="O6" s="1">
        <v>0.20208333333333331</v>
      </c>
      <c r="P6" s="1">
        <v>0.20347222222222219</v>
      </c>
      <c r="Q6" s="1">
        <v>0.20555555555555557</v>
      </c>
      <c r="R6" s="1">
        <v>0.20694444444444446</v>
      </c>
      <c r="S6" s="1">
        <v>0.20902777777777778</v>
      </c>
      <c r="T6" s="5"/>
    </row>
    <row r="7" spans="1:21" x14ac:dyDescent="0.2">
      <c r="A7" t="s">
        <v>8</v>
      </c>
      <c r="B7">
        <v>0</v>
      </c>
      <c r="C7" t="s">
        <v>85</v>
      </c>
      <c r="D7" t="s">
        <v>88</v>
      </c>
      <c r="E7">
        <v>1</v>
      </c>
      <c r="F7">
        <v>1</v>
      </c>
      <c r="G7" s="1">
        <f>G6+TIME(1,7,)</f>
        <v>0.23680555555555555</v>
      </c>
      <c r="H7" s="1">
        <f t="shared" ref="H7:S7" si="0">H6+TIME(1,7,)</f>
        <v>0.23749999999999999</v>
      </c>
      <c r="I7" s="1">
        <f t="shared" si="0"/>
        <v>0.23819444444444443</v>
      </c>
      <c r="J7" s="1">
        <f t="shared" si="0"/>
        <v>0.23958333333333331</v>
      </c>
      <c r="K7" s="1">
        <f t="shared" si="0"/>
        <v>0.24305555555555555</v>
      </c>
      <c r="L7" s="1">
        <f t="shared" si="0"/>
        <v>0.24374999999999999</v>
      </c>
      <c r="M7" s="1">
        <f t="shared" si="0"/>
        <v>0.24583333333333332</v>
      </c>
      <c r="N7" s="1">
        <f t="shared" si="0"/>
        <v>0.2472222222222222</v>
      </c>
      <c r="O7" s="1">
        <f t="shared" si="0"/>
        <v>0.24861111111111109</v>
      </c>
      <c r="P7" s="1">
        <f t="shared" si="0"/>
        <v>0.24999999999999997</v>
      </c>
      <c r="Q7" s="1">
        <f t="shared" si="0"/>
        <v>0.25208333333333333</v>
      </c>
      <c r="R7" s="1">
        <f t="shared" si="0"/>
        <v>0.25347222222222221</v>
      </c>
      <c r="S7" s="1">
        <f t="shared" si="0"/>
        <v>0.25555555555555554</v>
      </c>
      <c r="T7" s="5"/>
    </row>
    <row r="8" spans="1:21" x14ac:dyDescent="0.2">
      <c r="A8" t="s">
        <v>8</v>
      </c>
      <c r="B8">
        <v>0</v>
      </c>
      <c r="C8" t="s">
        <v>85</v>
      </c>
      <c r="D8" t="s">
        <v>88</v>
      </c>
      <c r="E8">
        <v>1</v>
      </c>
      <c r="F8">
        <v>1</v>
      </c>
      <c r="G8" s="1">
        <f>G7+TIME(,42,)</f>
        <v>0.26597222222222222</v>
      </c>
      <c r="H8" s="1">
        <f t="shared" ref="H8:S8" si="1">H7+TIME(,42,)</f>
        <v>0.26666666666666666</v>
      </c>
      <c r="I8" s="1">
        <f t="shared" si="1"/>
        <v>0.2673611111111111</v>
      </c>
      <c r="J8" s="1">
        <f t="shared" si="1"/>
        <v>0.26874999999999999</v>
      </c>
      <c r="K8" s="1">
        <f t="shared" si="1"/>
        <v>0.2722222222222222</v>
      </c>
      <c r="L8" s="1">
        <f t="shared" si="1"/>
        <v>0.27291666666666664</v>
      </c>
      <c r="M8" s="1">
        <f t="shared" si="1"/>
        <v>0.27499999999999997</v>
      </c>
      <c r="N8" s="1">
        <f t="shared" si="1"/>
        <v>0.27638888888888885</v>
      </c>
      <c r="O8" s="1">
        <f t="shared" si="1"/>
        <v>0.27777777777777773</v>
      </c>
      <c r="P8" s="1">
        <f t="shared" si="1"/>
        <v>0.27916666666666662</v>
      </c>
      <c r="Q8" s="1">
        <f t="shared" si="1"/>
        <v>0.28125</v>
      </c>
      <c r="R8" s="1">
        <f t="shared" si="1"/>
        <v>0.28263888888888888</v>
      </c>
      <c r="S8" s="1">
        <f t="shared" si="1"/>
        <v>0.28472222222222221</v>
      </c>
      <c r="T8" s="5"/>
    </row>
    <row r="9" spans="1:21" x14ac:dyDescent="0.2">
      <c r="A9" t="s">
        <v>8</v>
      </c>
      <c r="B9">
        <v>0</v>
      </c>
      <c r="C9" t="s">
        <v>85</v>
      </c>
      <c r="D9" t="s">
        <v>88</v>
      </c>
      <c r="E9">
        <v>1</v>
      </c>
      <c r="F9">
        <v>1</v>
      </c>
      <c r="G9" s="1">
        <f>G8+TIME(,32,)</f>
        <v>0.28819444444444442</v>
      </c>
      <c r="H9" s="1">
        <f t="shared" ref="H9:S10" si="2">H8+TIME(,32,)</f>
        <v>0.28888888888888886</v>
      </c>
      <c r="I9" s="1">
        <f t="shared" si="2"/>
        <v>0.2895833333333333</v>
      </c>
      <c r="J9" s="1">
        <f t="shared" si="2"/>
        <v>0.29097222222222219</v>
      </c>
      <c r="K9" s="1">
        <f t="shared" si="2"/>
        <v>0.2944444444444444</v>
      </c>
      <c r="L9" s="1">
        <f t="shared" si="2"/>
        <v>0.29513888888888884</v>
      </c>
      <c r="M9" s="1">
        <f t="shared" si="2"/>
        <v>0.29722222222222217</v>
      </c>
      <c r="N9" s="1">
        <f t="shared" si="2"/>
        <v>0.29861111111111105</v>
      </c>
      <c r="O9" s="1">
        <f t="shared" si="2"/>
        <v>0.29999999999999993</v>
      </c>
      <c r="P9" s="1">
        <f t="shared" si="2"/>
        <v>0.30138888888888882</v>
      </c>
      <c r="Q9" s="1">
        <f t="shared" si="2"/>
        <v>0.3034722222222222</v>
      </c>
      <c r="R9" s="1">
        <f t="shared" si="2"/>
        <v>0.30486111111111108</v>
      </c>
      <c r="S9" s="1">
        <f t="shared" si="2"/>
        <v>0.30694444444444441</v>
      </c>
      <c r="T9" s="5"/>
    </row>
    <row r="10" spans="1:21" x14ac:dyDescent="0.2">
      <c r="A10" t="s">
        <v>8</v>
      </c>
      <c r="B10">
        <v>0</v>
      </c>
      <c r="C10" t="s">
        <v>85</v>
      </c>
      <c r="D10" t="s">
        <v>88</v>
      </c>
      <c r="E10">
        <v>1</v>
      </c>
      <c r="F10">
        <v>1</v>
      </c>
      <c r="G10" s="1">
        <f>G9+TIME(,32,)</f>
        <v>0.31041666666666662</v>
      </c>
      <c r="H10" s="1">
        <f t="shared" si="2"/>
        <v>0.31111111111111106</v>
      </c>
      <c r="I10" s="1">
        <f t="shared" si="2"/>
        <v>0.3118055555555555</v>
      </c>
      <c r="J10" s="1">
        <f t="shared" si="2"/>
        <v>0.31319444444444439</v>
      </c>
      <c r="K10" s="1">
        <f t="shared" si="2"/>
        <v>0.3166666666666666</v>
      </c>
      <c r="L10" s="1">
        <f t="shared" si="2"/>
        <v>0.31736111111111104</v>
      </c>
      <c r="M10" s="1">
        <f t="shared" si="2"/>
        <v>0.31944444444444436</v>
      </c>
      <c r="N10" s="1">
        <f t="shared" si="2"/>
        <v>0.32083333333333325</v>
      </c>
      <c r="O10" s="1">
        <f t="shared" si="2"/>
        <v>0.32222222222222213</v>
      </c>
      <c r="P10" s="1">
        <f t="shared" si="2"/>
        <v>0.32361111111111102</v>
      </c>
      <c r="Q10" s="1">
        <f t="shared" si="2"/>
        <v>0.3256944444444444</v>
      </c>
      <c r="R10" s="1">
        <f t="shared" si="2"/>
        <v>0.32708333333333328</v>
      </c>
      <c r="S10" s="1">
        <f t="shared" si="2"/>
        <v>0.32916666666666661</v>
      </c>
      <c r="T10" s="5">
        <f>TIME(0,30,0)</f>
        <v>2.0833333333333332E-2</v>
      </c>
      <c r="U10" s="3">
        <v>0.68541666666666667</v>
      </c>
    </row>
    <row r="11" spans="1:21" x14ac:dyDescent="0.2">
      <c r="A11" t="s">
        <v>8</v>
      </c>
      <c r="B11">
        <v>0</v>
      </c>
      <c r="C11" t="s">
        <v>85</v>
      </c>
      <c r="D11" t="s">
        <v>88</v>
      </c>
      <c r="E11">
        <v>1</v>
      </c>
      <c r="F11">
        <v>1</v>
      </c>
      <c r="G11" s="1">
        <f>G10+TIME(9,29,)</f>
        <v>0.70555555555555549</v>
      </c>
      <c r="H11" s="1">
        <f t="shared" ref="H11:S11" si="3">H10+TIME(9,29,)</f>
        <v>0.70624999999999993</v>
      </c>
      <c r="I11" s="1">
        <f t="shared" si="3"/>
        <v>0.70694444444444438</v>
      </c>
      <c r="J11" s="1">
        <f t="shared" si="3"/>
        <v>0.70833333333333326</v>
      </c>
      <c r="K11" s="1">
        <f t="shared" si="3"/>
        <v>0.71180555555555547</v>
      </c>
      <c r="L11" s="1">
        <f t="shared" si="3"/>
        <v>0.71249999999999991</v>
      </c>
      <c r="M11" s="1">
        <f t="shared" si="3"/>
        <v>0.71458333333333324</v>
      </c>
      <c r="N11" s="1">
        <f t="shared" si="3"/>
        <v>0.71597222222222212</v>
      </c>
      <c r="O11" s="1">
        <f t="shared" si="3"/>
        <v>0.71736111111111101</v>
      </c>
      <c r="P11" s="1">
        <f t="shared" si="3"/>
        <v>0.71874999999999989</v>
      </c>
      <c r="Q11" s="1">
        <f t="shared" si="3"/>
        <v>0.72083333333333321</v>
      </c>
      <c r="R11" s="1">
        <f t="shared" si="3"/>
        <v>0.7222222222222221</v>
      </c>
      <c r="S11" s="1">
        <f t="shared" si="3"/>
        <v>0.72430555555555554</v>
      </c>
      <c r="T11" s="5"/>
      <c r="U11" s="3"/>
    </row>
    <row r="12" spans="1:21" x14ac:dyDescent="0.2">
      <c r="A12" t="s">
        <v>8</v>
      </c>
      <c r="B12">
        <v>0</v>
      </c>
      <c r="C12" t="s">
        <v>85</v>
      </c>
      <c r="D12" t="s">
        <v>88</v>
      </c>
      <c r="E12">
        <v>1</v>
      </c>
      <c r="F12">
        <v>1</v>
      </c>
      <c r="G12" s="1">
        <f>G11+TIME(,29,)</f>
        <v>0.72569444444444442</v>
      </c>
      <c r="H12" s="1">
        <f t="shared" ref="H12:S12" si="4">H11+TIME(,29,)</f>
        <v>0.72638888888888886</v>
      </c>
      <c r="I12" s="1">
        <f t="shared" si="4"/>
        <v>0.7270833333333333</v>
      </c>
      <c r="J12" s="1">
        <f t="shared" si="4"/>
        <v>0.72847222222222219</v>
      </c>
      <c r="K12" s="1">
        <f t="shared" si="4"/>
        <v>0.7319444444444444</v>
      </c>
      <c r="L12" s="1">
        <f t="shared" si="4"/>
        <v>0.73263888888888884</v>
      </c>
      <c r="M12" s="1">
        <f t="shared" si="4"/>
        <v>0.73472222222222217</v>
      </c>
      <c r="N12" s="1">
        <f t="shared" si="4"/>
        <v>0.73611111111111105</v>
      </c>
      <c r="O12" s="1">
        <f t="shared" si="4"/>
        <v>0.73749999999999993</v>
      </c>
      <c r="P12" s="1">
        <f t="shared" si="4"/>
        <v>0.73888888888888882</v>
      </c>
      <c r="Q12" s="1">
        <f t="shared" si="4"/>
        <v>0.74097222222222214</v>
      </c>
      <c r="R12" s="1">
        <f t="shared" si="4"/>
        <v>0.74236111111111103</v>
      </c>
      <c r="S12" s="1">
        <f t="shared" si="4"/>
        <v>0.74444444444444446</v>
      </c>
      <c r="T12" s="5">
        <f>TIME(0,30,0)</f>
        <v>2.0833333333333332E-2</v>
      </c>
      <c r="U12" s="3">
        <v>0.79513888888888884</v>
      </c>
    </row>
    <row r="13" spans="1:21" x14ac:dyDescent="0.2">
      <c r="A13" t="s">
        <v>8</v>
      </c>
      <c r="B13">
        <v>0</v>
      </c>
      <c r="C13" t="s">
        <v>85</v>
      </c>
      <c r="D13" t="s">
        <v>88</v>
      </c>
      <c r="E13">
        <v>1</v>
      </c>
      <c r="F13">
        <v>1</v>
      </c>
      <c r="G13" s="1">
        <v>0.80902777777777779</v>
      </c>
      <c r="H13" s="1">
        <v>0.80972222222222223</v>
      </c>
      <c r="I13" s="1">
        <v>0.81041666666666667</v>
      </c>
      <c r="J13" s="1">
        <v>0.81180555555555556</v>
      </c>
      <c r="K13" s="1">
        <v>0.81527777777777777</v>
      </c>
      <c r="L13" s="1">
        <v>0.81597222222222221</v>
      </c>
      <c r="M13" s="1">
        <v>0.81805555555555554</v>
      </c>
      <c r="N13" s="1">
        <v>0.81944444444444442</v>
      </c>
      <c r="O13" s="1">
        <v>0.8208333333333333</v>
      </c>
      <c r="P13" s="1">
        <v>0.82222222222222219</v>
      </c>
      <c r="Q13" s="1">
        <v>0.82430555555555562</v>
      </c>
      <c r="R13" s="1">
        <v>0.82569444444444451</v>
      </c>
      <c r="S13" s="1">
        <v>0.82777777777777772</v>
      </c>
      <c r="T13" s="5">
        <f>TIME(0,20,0)</f>
        <v>1.3888888888888888E-2</v>
      </c>
      <c r="U13" s="3">
        <v>0.98958333333333337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DA89F-5610-D94A-A04F-AEFAB72818F4}">
  <dimension ref="A1:U10"/>
  <sheetViews>
    <sheetView workbookViewId="0">
      <selection activeCell="G2" sqref="G2:S2"/>
    </sheetView>
  </sheetViews>
  <sheetFormatPr baseColWidth="10" defaultRowHeight="16" x14ac:dyDescent="0.2"/>
  <cols>
    <col min="1" max="1" width="8" customWidth="1"/>
    <col min="2" max="2" width="5" customWidth="1"/>
    <col min="3" max="3" width="10.33203125" bestFit="1" customWidth="1"/>
    <col min="4" max="4" width="15.83203125" bestFit="1" customWidth="1"/>
    <col min="5" max="6" width="4" customWidth="1"/>
    <col min="7" max="19" width="8.1640625" bestFit="1" customWidth="1"/>
    <col min="20" max="20" width="10" bestFit="1" customWidth="1"/>
    <col min="21" max="21" width="5.6640625" bestFit="1" customWidth="1"/>
  </cols>
  <sheetData>
    <row r="1" spans="1:21" ht="92" x14ac:dyDescent="0.2">
      <c r="A1" s="6" t="str">
        <f>_xlfn.IFNA(INDEX(Stops!$2:$1048576,MATCH(A2,Stops!$A$2:$A$1048576,0),MATCH("stop_name",Stops!$1:$1,0)),IF(ISBLANK(A2),"",A2))</f>
        <v>route_id</v>
      </c>
      <c r="B1" s="6" t="str">
        <f>_xlfn.IFNA(INDEX(Stops!$2:$1048576,MATCH(B2,Stops!$A$2:$A$1048576,0),MATCH("stop_name",Stops!$1:$1,0)),IF(ISBLANK(B2),"",B2))</f>
        <v>direction_id</v>
      </c>
      <c r="C1" s="6" t="str">
        <f>_xlfn.IFNA(INDEX(Stops!$2:$1048576,MATCH(C2,Stops!$A$2:$A$1048576,0),MATCH("stop_name",Stops!$1:$1,0)),IF(ISBLANK(C2),"",C2))</f>
        <v>shape_id</v>
      </c>
      <c r="D1" s="6" t="str">
        <f>_xlfn.IFNA(INDEX(Stops!$2:$1048576,MATCH(D2,Stops!$A$2:$A$1048576,0),MATCH("stop_name",Stops!$1:$1,0)),IF(ISBLANK(D2),"",D2))</f>
        <v>headsign</v>
      </c>
      <c r="E1" s="6" t="str">
        <f>_xlfn.IFNA(INDEX(Stops!$2:$1048576,MATCH(E2,Stops!$A$2:$A$1048576,0),MATCH("stop_name",Stops!$1:$1,0)),IF(ISBLANK(E2),"",E2))</f>
        <v>wheelchair_accessible</v>
      </c>
      <c r="F1" s="6" t="str">
        <f>_xlfn.IFNA(INDEX(Stops!$2:$1048576,MATCH(F2,Stops!$A$2:$A$1048576,0),MATCH("stop_name",Stops!$1:$1,0)),IF(ISBLANK(F2),"",F2))</f>
        <v>bikes_allowed</v>
      </c>
      <c r="G1" s="6" t="str">
        <f>_xlfn.IFNA(INDEX(Stops!$2:$1048576,MATCH(G2,Stops!$A$2:$A$1048576,0),MATCH("stop_name",Stops!$1:$1,0)),IF(ISBLANK(G2),"",G2))</f>
        <v>Lindenwold</v>
      </c>
      <c r="H1" s="6" t="str">
        <f>_xlfn.IFNA(INDEX(Stops!$2:$1048576,MATCH(H2,Stops!$A$2:$A$1048576,0),MATCH("stop_name",Stops!$1:$1,0)),IF(ISBLANK(H2),"",H2))</f>
        <v>Ashland</v>
      </c>
      <c r="I1" s="6" t="str">
        <f>_xlfn.IFNA(INDEX(Stops!$2:$1048576,MATCH(I2,Stops!$A$2:$A$1048576,0),MATCH("stop_name",Stops!$1:$1,0)),IF(ISBLANK(I2),"",I2))</f>
        <v>Woodcrest</v>
      </c>
      <c r="J1" s="6" t="str">
        <f>_xlfn.IFNA(INDEX(Stops!$2:$1048576,MATCH(J2,Stops!$A$2:$A$1048576,0),MATCH("stop_name",Stops!$1:$1,0)),IF(ISBLANK(J2),"",J2))</f>
        <v>Haddonfield</v>
      </c>
      <c r="K1" s="6" t="str">
        <f>_xlfn.IFNA(INDEX(Stops!$2:$1048576,MATCH(K2,Stops!$A$2:$A$1048576,0),MATCH("stop_name",Stops!$1:$1,0)),IF(ISBLANK(K2),"",K2))</f>
        <v>Westmont</v>
      </c>
      <c r="L1" s="6" t="str">
        <f>_xlfn.IFNA(INDEX(Stops!$2:$1048576,MATCH(L2,Stops!$A$2:$A$1048576,0),MATCH("stop_name",Stops!$1:$1,0)),IF(ISBLANK(L2),"",L2))</f>
        <v>Collingswood</v>
      </c>
      <c r="M1" s="6" t="str">
        <f>_xlfn.IFNA(INDEX(Stops!$2:$1048576,MATCH(M2,Stops!$A$2:$A$1048576,0),MATCH("stop_name",Stops!$1:$1,0)),IF(ISBLANK(M2),"",M2))</f>
        <v>Ferry Avenue</v>
      </c>
      <c r="N1" s="6" t="str">
        <f>_xlfn.IFNA(INDEX(Stops!$2:$1048576,MATCH(N2,Stops!$A$2:$A$1048576,0),MATCH("stop_name",Stops!$1:$1,0)),IF(ISBLANK(N2),"",N2))</f>
        <v>Broadway</v>
      </c>
      <c r="O1" s="6" t="str">
        <f>_xlfn.IFNA(INDEX(Stops!$2:$1048576,MATCH(O2,Stops!$A$2:$A$1048576,0),MATCH("stop_name",Stops!$1:$1,0)),IF(ISBLANK(O2),"",O2))</f>
        <v>City Hall</v>
      </c>
      <c r="P1" s="6" t="str">
        <f>_xlfn.IFNA(INDEX(Stops!$2:$1048576,MATCH(P2,Stops!$A$2:$A$1048576,0),MATCH("stop_name",Stops!$1:$1,0)),IF(ISBLANK(P2),"",P2))</f>
        <v>8th and Market</v>
      </c>
      <c r="Q1" s="6" t="str">
        <f>_xlfn.IFNA(INDEX(Stops!$2:$1048576,MATCH(Q2,Stops!$A$2:$A$1048576,0),MATCH("stop_name",Stops!$1:$1,0)),IF(ISBLANK(Q2),"",Q2))</f>
        <v>9-10th and Locust</v>
      </c>
      <c r="R1" s="6" t="str">
        <f>_xlfn.IFNA(INDEX(Stops!$2:$1048576,MATCH(R2,Stops!$A$2:$A$1048576,0),MATCH("stop_name",Stops!$1:$1,0)),IF(ISBLANK(R2),"",R2))</f>
        <v>12-13th and Locust</v>
      </c>
      <c r="S1" s="6" t="str">
        <f>_xlfn.IFNA(INDEX(Stops!$2:$1048576,MATCH(S2,Stops!$A$2:$A$1048576,0),MATCH("stop_name",Stops!$1:$1,0)),IF(ISBLANK(S2),"",S2))</f>
        <v>15-16th and Locust</v>
      </c>
      <c r="T1" s="7" t="str">
        <f>_xlfn.IFNA(INDEX(Stops!$2:$1048576,MATCH(T2,Stops!$A$2:$A$1048576,0),MATCH("stop_name",Stops!$1:$1,0)),IF(ISBLANK(T2),"",T2))</f>
        <v>Then Every</v>
      </c>
      <c r="U1" s="6" t="str">
        <f>_xlfn.IFNA(INDEX(Stops!$2:$1048576,MATCH(U2,Stops!$A$2:$A$1048576,0),MATCH("stop_name",Stops!$1:$1,0)),IF(ISBLANK(U2),"",U2))</f>
        <v>Until</v>
      </c>
    </row>
    <row r="2" spans="1:21" x14ac:dyDescent="0.2">
      <c r="A2" s="2" t="s">
        <v>14</v>
      </c>
      <c r="B2" s="2" t="s">
        <v>77</v>
      </c>
      <c r="C2" s="2" t="s">
        <v>24</v>
      </c>
      <c r="D2" s="2" t="s">
        <v>81</v>
      </c>
      <c r="E2" s="2" t="s">
        <v>78</v>
      </c>
      <c r="F2" s="2" t="s">
        <v>79</v>
      </c>
      <c r="G2" s="2" t="s">
        <v>138</v>
      </c>
      <c r="H2" s="2" t="s">
        <v>129</v>
      </c>
      <c r="I2" s="2" t="s">
        <v>136</v>
      </c>
      <c r="J2" s="2" t="s">
        <v>137</v>
      </c>
      <c r="K2" s="2" t="s">
        <v>135</v>
      </c>
      <c r="L2" s="2" t="s">
        <v>134</v>
      </c>
      <c r="M2" s="2" t="s">
        <v>133</v>
      </c>
      <c r="N2" s="2" t="s">
        <v>132</v>
      </c>
      <c r="O2" s="2" t="s">
        <v>128</v>
      </c>
      <c r="P2" s="2" t="s">
        <v>130</v>
      </c>
      <c r="Q2" s="2" t="s">
        <v>131</v>
      </c>
      <c r="R2" s="2" t="s">
        <v>139</v>
      </c>
      <c r="S2" s="2" t="s">
        <v>140</v>
      </c>
      <c r="T2" s="4" t="s">
        <v>83</v>
      </c>
      <c r="U2" s="2" t="s">
        <v>84</v>
      </c>
    </row>
    <row r="3" spans="1:21" x14ac:dyDescent="0.2">
      <c r="A3" t="s">
        <v>8</v>
      </c>
      <c r="B3">
        <v>1</v>
      </c>
      <c r="C3" t="s">
        <v>87</v>
      </c>
      <c r="D3" t="s">
        <v>82</v>
      </c>
      <c r="E3">
        <v>1</v>
      </c>
      <c r="F3">
        <v>1</v>
      </c>
      <c r="G3" s="1">
        <v>5.5555555555555558E-3</v>
      </c>
      <c r="H3" s="1">
        <v>6.9444444444444449E-3</v>
      </c>
      <c r="I3" s="1">
        <v>7.6388888888888895E-3</v>
      </c>
      <c r="J3" s="1">
        <v>9.7222222222222224E-3</v>
      </c>
      <c r="K3" s="1">
        <v>1.1111111111111112E-2</v>
      </c>
      <c r="L3" s="1">
        <v>1.2500000000000001E-2</v>
      </c>
      <c r="M3" s="1">
        <v>1.3888888888888888E-2</v>
      </c>
      <c r="N3" s="1">
        <v>1.6666666666666666E-2</v>
      </c>
      <c r="O3" s="1">
        <v>1.8055555555555554E-2</v>
      </c>
      <c r="P3" s="1">
        <v>2.1527777777777781E-2</v>
      </c>
      <c r="Q3" s="1"/>
      <c r="R3" s="1">
        <v>2.3611111111111114E-2</v>
      </c>
      <c r="S3" s="1">
        <v>2.4305555555555556E-2</v>
      </c>
      <c r="T3" s="5"/>
      <c r="U3" s="3"/>
    </row>
    <row r="4" spans="1:21" x14ac:dyDescent="0.2">
      <c r="A4" t="s">
        <v>8</v>
      </c>
      <c r="B4">
        <v>1</v>
      </c>
      <c r="C4" t="s">
        <v>87</v>
      </c>
      <c r="D4" t="s">
        <v>82</v>
      </c>
      <c r="E4">
        <v>1</v>
      </c>
      <c r="F4">
        <v>1</v>
      </c>
      <c r="G4" s="1">
        <v>4.1666666666666664E-2</v>
      </c>
      <c r="H4" s="1">
        <v>4.3055555555555555E-2</v>
      </c>
      <c r="I4" s="1">
        <v>4.3749999999999997E-2</v>
      </c>
      <c r="J4" s="1">
        <v>4.583333333333333E-2</v>
      </c>
      <c r="K4" s="1">
        <v>4.7222222222222221E-2</v>
      </c>
      <c r="L4" s="1">
        <v>4.8611111111111105E-2</v>
      </c>
      <c r="M4" s="1">
        <v>4.9999999999999996E-2</v>
      </c>
      <c r="N4" s="1">
        <v>5.2777777777777778E-2</v>
      </c>
      <c r="O4" s="1">
        <v>5.4166666666666662E-2</v>
      </c>
      <c r="P4" s="1">
        <v>5.7638888888888892E-2</v>
      </c>
      <c r="Q4" s="1"/>
      <c r="R4" s="1">
        <v>5.9722222222222218E-2</v>
      </c>
      <c r="S4" s="1">
        <v>6.041666666666666E-2</v>
      </c>
      <c r="T4" s="5">
        <f>TIME(0,60,0)</f>
        <v>4.1666666666666664E-2</v>
      </c>
      <c r="U4" s="3">
        <v>0.125</v>
      </c>
    </row>
    <row r="5" spans="1:21" x14ac:dyDescent="0.2">
      <c r="A5" t="s">
        <v>8</v>
      </c>
      <c r="B5">
        <v>1</v>
      </c>
      <c r="C5" t="s">
        <v>87</v>
      </c>
      <c r="D5" t="s">
        <v>82</v>
      </c>
      <c r="E5">
        <v>1</v>
      </c>
      <c r="F5">
        <v>1</v>
      </c>
      <c r="G5" s="1">
        <v>0.16666666666666666</v>
      </c>
      <c r="H5" s="1">
        <v>0.16805555555555554</v>
      </c>
      <c r="I5" s="1">
        <v>0.16874999999999998</v>
      </c>
      <c r="J5" s="1">
        <v>0.17083333333333331</v>
      </c>
      <c r="K5" s="1">
        <v>0.17222222222222225</v>
      </c>
      <c r="L5" s="1">
        <v>0.17361111111111113</v>
      </c>
      <c r="M5" s="1">
        <v>0.17500000000000002</v>
      </c>
      <c r="N5" s="1">
        <v>0.17777777777777778</v>
      </c>
      <c r="O5" s="1">
        <v>0.17916666666666667</v>
      </c>
      <c r="P5" s="1">
        <v>0.18263888888888891</v>
      </c>
      <c r="Q5" s="1">
        <v>0.18402777777777779</v>
      </c>
      <c r="R5" s="1">
        <v>0.18472222222222223</v>
      </c>
      <c r="S5" s="1">
        <v>0.18541666666666667</v>
      </c>
      <c r="T5" s="5"/>
    </row>
    <row r="6" spans="1:21" x14ac:dyDescent="0.2">
      <c r="A6" t="s">
        <v>8</v>
      </c>
      <c r="B6">
        <v>1</v>
      </c>
      <c r="C6" t="s">
        <v>87</v>
      </c>
      <c r="D6" t="s">
        <v>82</v>
      </c>
      <c r="E6">
        <v>1</v>
      </c>
      <c r="F6">
        <v>1</v>
      </c>
      <c r="G6" s="1">
        <v>0.20833333333333334</v>
      </c>
      <c r="H6" s="1">
        <v>0.20972222222222223</v>
      </c>
      <c r="I6" s="1">
        <v>0.21041666666666667</v>
      </c>
      <c r="J6" s="1">
        <v>0.21249999999999999</v>
      </c>
      <c r="K6" s="1">
        <v>0.21388888888888891</v>
      </c>
      <c r="L6" s="1">
        <v>0.21527777777777779</v>
      </c>
      <c r="M6" s="1">
        <v>0.21666666666666667</v>
      </c>
      <c r="N6" s="1">
        <v>0.21944444444444444</v>
      </c>
      <c r="O6" s="1">
        <v>0.22083333333333333</v>
      </c>
      <c r="P6" s="1">
        <v>0.22430555555555556</v>
      </c>
      <c r="Q6" s="1">
        <v>0.22569444444444445</v>
      </c>
      <c r="R6" s="1">
        <v>0.22638888888888889</v>
      </c>
      <c r="S6" s="1">
        <v>0.22708333333333333</v>
      </c>
      <c r="T6" s="5"/>
    </row>
    <row r="7" spans="1:21" x14ac:dyDescent="0.2">
      <c r="A7" t="s">
        <v>8</v>
      </c>
      <c r="B7">
        <v>1</v>
      </c>
      <c r="C7" t="s">
        <v>87</v>
      </c>
      <c r="D7" t="s">
        <v>82</v>
      </c>
      <c r="E7">
        <v>1</v>
      </c>
      <c r="F7">
        <v>1</v>
      </c>
      <c r="G7" s="1">
        <v>0.22916666666666666</v>
      </c>
      <c r="H7" s="1">
        <v>0.23055555555555554</v>
      </c>
      <c r="I7" s="1">
        <v>0.23124999999999998</v>
      </c>
      <c r="J7" s="1">
        <v>0.23333333333333331</v>
      </c>
      <c r="K7" s="1">
        <v>0.23472222222222219</v>
      </c>
      <c r="L7" s="1">
        <v>0.23611111111111113</v>
      </c>
      <c r="M7" s="1">
        <v>0.23750000000000002</v>
      </c>
      <c r="N7" s="1">
        <v>0.24027777777777778</v>
      </c>
      <c r="O7" s="1">
        <v>0.24166666666666667</v>
      </c>
      <c r="P7" s="1">
        <v>0.24513888888888888</v>
      </c>
      <c r="Q7" s="1">
        <v>0.24652777777777779</v>
      </c>
      <c r="R7" s="1">
        <v>0.24722222222222223</v>
      </c>
      <c r="S7" s="1">
        <v>0.24791666666666667</v>
      </c>
      <c r="T7" s="5"/>
    </row>
    <row r="8" spans="1:21" x14ac:dyDescent="0.2">
      <c r="A8" t="s">
        <v>8</v>
      </c>
      <c r="B8">
        <v>1</v>
      </c>
      <c r="C8" t="s">
        <v>87</v>
      </c>
      <c r="D8" t="s">
        <v>82</v>
      </c>
      <c r="E8">
        <v>1</v>
      </c>
      <c r="F8">
        <v>1</v>
      </c>
      <c r="G8" s="1">
        <v>0.25</v>
      </c>
      <c r="H8" s="1">
        <v>0.25138888888888888</v>
      </c>
      <c r="I8" s="1">
        <v>0.25208333333333333</v>
      </c>
      <c r="J8" s="1">
        <v>0.25416666666666665</v>
      </c>
      <c r="K8" s="1">
        <v>0.25555555555555559</v>
      </c>
      <c r="L8" s="1">
        <v>0.25694444444444448</v>
      </c>
      <c r="M8" s="1">
        <v>0.25833333333333336</v>
      </c>
      <c r="N8" s="1">
        <v>0.26111111111111113</v>
      </c>
      <c r="O8" s="1">
        <v>0.26250000000000001</v>
      </c>
      <c r="P8" s="1">
        <v>0.26597222222222222</v>
      </c>
      <c r="Q8" s="1">
        <v>0.2673611111111111</v>
      </c>
      <c r="R8" s="1">
        <v>0.26805555555555555</v>
      </c>
      <c r="S8" s="1">
        <v>0.26874999999999999</v>
      </c>
      <c r="T8" s="5"/>
    </row>
    <row r="9" spans="1:21" x14ac:dyDescent="0.2">
      <c r="A9" t="s">
        <v>8</v>
      </c>
      <c r="B9">
        <v>1</v>
      </c>
      <c r="C9" t="s">
        <v>87</v>
      </c>
      <c r="D9" t="s">
        <v>82</v>
      </c>
      <c r="E9">
        <v>1</v>
      </c>
      <c r="F9">
        <v>1</v>
      </c>
      <c r="G9" s="1">
        <v>0.27083333333333331</v>
      </c>
      <c r="H9" s="1">
        <v>0.2722222222222222</v>
      </c>
      <c r="I9" s="1">
        <v>0.27291666666666664</v>
      </c>
      <c r="J9" s="1">
        <v>0.27499999999999997</v>
      </c>
      <c r="K9" s="1">
        <v>0.27638888888888885</v>
      </c>
      <c r="L9" s="1">
        <v>0.27777777777777779</v>
      </c>
      <c r="M9" s="1">
        <v>0.27916666666666667</v>
      </c>
      <c r="N9" s="1">
        <v>0.28194444444444444</v>
      </c>
      <c r="O9" s="1">
        <v>0.28333333333333333</v>
      </c>
      <c r="P9" s="1">
        <v>0.28680555555555554</v>
      </c>
      <c r="Q9" s="1">
        <v>0.28819444444444448</v>
      </c>
      <c r="R9" s="1">
        <v>0.28888888888888892</v>
      </c>
      <c r="S9" s="1">
        <v>0.28958333333333336</v>
      </c>
      <c r="T9" s="5">
        <f>TIME(0,30,0)</f>
        <v>2.0833333333333332E-2</v>
      </c>
      <c r="U9" s="3">
        <v>0.77083333333333337</v>
      </c>
    </row>
    <row r="10" spans="1:21" x14ac:dyDescent="0.2">
      <c r="A10" t="s">
        <v>8</v>
      </c>
      <c r="B10">
        <v>1</v>
      </c>
      <c r="C10" t="s">
        <v>87</v>
      </c>
      <c r="D10" t="s">
        <v>82</v>
      </c>
      <c r="E10">
        <v>1</v>
      </c>
      <c r="F10">
        <v>1</v>
      </c>
      <c r="G10" s="1">
        <v>0.78472222222222232</v>
      </c>
      <c r="H10" s="1">
        <v>0.7861111111111112</v>
      </c>
      <c r="I10" s="1">
        <v>0.78680555555555554</v>
      </c>
      <c r="J10" s="1">
        <v>0.78888888888888897</v>
      </c>
      <c r="K10" s="1">
        <v>0.79027777777777786</v>
      </c>
      <c r="L10" s="1">
        <v>0.79166666666666674</v>
      </c>
      <c r="M10" s="1">
        <v>0.79305555555555562</v>
      </c>
      <c r="N10" s="1">
        <v>0.79583333333333339</v>
      </c>
      <c r="O10" s="1">
        <v>0.79722222222222228</v>
      </c>
      <c r="P10" s="1">
        <v>0.80069444444444449</v>
      </c>
      <c r="Q10" s="1">
        <v>0.80208333333333348</v>
      </c>
      <c r="R10" s="1">
        <v>0.80277777777777781</v>
      </c>
      <c r="S10" s="1">
        <v>0.80347222222222237</v>
      </c>
      <c r="T10" s="5">
        <f>TIME(0,20,0)</f>
        <v>1.3888888888888888E-2</v>
      </c>
      <c r="U10" s="3">
        <v>0.97916666666666663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5B2B-199B-A14F-8D32-D1B42D14F55B}">
  <dimension ref="A1:U10"/>
  <sheetViews>
    <sheetView workbookViewId="0">
      <selection activeCell="G2" sqref="G2:S2"/>
    </sheetView>
  </sheetViews>
  <sheetFormatPr baseColWidth="10" defaultRowHeight="16" x14ac:dyDescent="0.2"/>
  <cols>
    <col min="1" max="1" width="8" customWidth="1"/>
    <col min="2" max="2" width="5" customWidth="1"/>
    <col min="3" max="3" width="10.33203125" bestFit="1" customWidth="1"/>
    <col min="4" max="4" width="15.83203125" bestFit="1" customWidth="1"/>
    <col min="5" max="6" width="4" customWidth="1"/>
    <col min="7" max="19" width="8.1640625" bestFit="1" customWidth="1"/>
    <col min="20" max="20" width="10" bestFit="1" customWidth="1"/>
    <col min="21" max="21" width="5.6640625" bestFit="1" customWidth="1"/>
  </cols>
  <sheetData>
    <row r="1" spans="1:21" ht="92" x14ac:dyDescent="0.2">
      <c r="A1" s="6" t="str">
        <f>_xlfn.IFNA(INDEX(Stops!$2:$1048576,MATCH(A2,Stops!$A$2:$A$1048576,0),MATCH("stop_name",Stops!$1:$1,0)),IF(ISBLANK(A2),"",A2))</f>
        <v>route_id</v>
      </c>
      <c r="B1" s="6" t="str">
        <f>_xlfn.IFNA(INDEX(Stops!$2:$1048576,MATCH(B2,Stops!$A$2:$A$1048576,0),MATCH("stop_name",Stops!$1:$1,0)),IF(ISBLANK(B2),"",B2))</f>
        <v>direction_id</v>
      </c>
      <c r="C1" s="6" t="str">
        <f>_xlfn.IFNA(INDEX(Stops!$2:$1048576,MATCH(C2,Stops!$A$2:$A$1048576,0),MATCH("stop_name",Stops!$1:$1,0)),IF(ISBLANK(C2),"",C2))</f>
        <v>shape_id</v>
      </c>
      <c r="D1" s="6" t="str">
        <f>_xlfn.IFNA(INDEX(Stops!$2:$1048576,MATCH(D2,Stops!$A$2:$A$1048576,0),MATCH("stop_name",Stops!$1:$1,0)),IF(ISBLANK(D2),"",D2))</f>
        <v>headsign</v>
      </c>
      <c r="E1" s="6" t="str">
        <f>_xlfn.IFNA(INDEX(Stops!$2:$1048576,MATCH(E2,Stops!$A$2:$A$1048576,0),MATCH("stop_name",Stops!$1:$1,0)),IF(ISBLANK(E2),"",E2))</f>
        <v>wheelchair_accessible</v>
      </c>
      <c r="F1" s="6" t="str">
        <f>_xlfn.IFNA(INDEX(Stops!$2:$1048576,MATCH(F2,Stops!$A$2:$A$1048576,0),MATCH("stop_name",Stops!$1:$1,0)),IF(ISBLANK(F2),"",F2))</f>
        <v>bikes_allowed</v>
      </c>
      <c r="G1" s="6" t="str">
        <f>_xlfn.IFNA(INDEX(Stops!$2:$1048576,MATCH(G2,Stops!$A$2:$A$1048576,0),MATCH("stop_name",Stops!$1:$1,0)),IF(ISBLANK(G2),"",G2))</f>
        <v>15-16th and Locust</v>
      </c>
      <c r="H1" s="6" t="str">
        <f>_xlfn.IFNA(INDEX(Stops!$2:$1048576,MATCH(H2,Stops!$A$2:$A$1048576,0),MATCH("stop_name",Stops!$1:$1,0)),IF(ISBLANK(H2),"",H2))</f>
        <v>12-13th and Locust</v>
      </c>
      <c r="I1" s="6" t="str">
        <f>_xlfn.IFNA(INDEX(Stops!$2:$1048576,MATCH(I2,Stops!$A$2:$A$1048576,0),MATCH("stop_name",Stops!$1:$1,0)),IF(ISBLANK(I2),"",I2))</f>
        <v>9-10th and Locust</v>
      </c>
      <c r="J1" s="6" t="str">
        <f>_xlfn.IFNA(INDEX(Stops!$2:$1048576,MATCH(J2,Stops!$A$2:$A$1048576,0),MATCH("stop_name",Stops!$1:$1,0)),IF(ISBLANK(J2),"",J2))</f>
        <v>8th and Market</v>
      </c>
      <c r="K1" s="6" t="str">
        <f>_xlfn.IFNA(INDEX(Stops!$2:$1048576,MATCH(K2,Stops!$A$2:$A$1048576,0),MATCH("stop_name",Stops!$1:$1,0)),IF(ISBLANK(K2),"",K2))</f>
        <v>City Hall</v>
      </c>
      <c r="L1" s="6" t="str">
        <f>_xlfn.IFNA(INDEX(Stops!$2:$1048576,MATCH(L2,Stops!$A$2:$A$1048576,0),MATCH("stop_name",Stops!$1:$1,0)),IF(ISBLANK(L2),"",L2))</f>
        <v>Broadway</v>
      </c>
      <c r="M1" s="6" t="str">
        <f>_xlfn.IFNA(INDEX(Stops!$2:$1048576,MATCH(M2,Stops!$A$2:$A$1048576,0),MATCH("stop_name",Stops!$1:$1,0)),IF(ISBLANK(M2),"",M2))</f>
        <v>Ferry Avenue</v>
      </c>
      <c r="N1" s="6" t="str">
        <f>_xlfn.IFNA(INDEX(Stops!$2:$1048576,MATCH(N2,Stops!$A$2:$A$1048576,0),MATCH("stop_name",Stops!$1:$1,0)),IF(ISBLANK(N2),"",N2))</f>
        <v>Collingswood</v>
      </c>
      <c r="O1" s="6" t="str">
        <f>_xlfn.IFNA(INDEX(Stops!$2:$1048576,MATCH(O2,Stops!$A$2:$A$1048576,0),MATCH("stop_name",Stops!$1:$1,0)),IF(ISBLANK(O2),"",O2))</f>
        <v>Westmont</v>
      </c>
      <c r="P1" s="6" t="str">
        <f>_xlfn.IFNA(INDEX(Stops!$2:$1048576,MATCH(P2,Stops!$A$2:$A$1048576,0),MATCH("stop_name",Stops!$1:$1,0)),IF(ISBLANK(P2),"",P2))</f>
        <v>Haddonfield</v>
      </c>
      <c r="Q1" s="6" t="str">
        <f>_xlfn.IFNA(INDEX(Stops!$2:$1048576,MATCH(Q2,Stops!$A$2:$A$1048576,0),MATCH("stop_name",Stops!$1:$1,0)),IF(ISBLANK(Q2),"",Q2))</f>
        <v>Woodcrest</v>
      </c>
      <c r="R1" s="6" t="str">
        <f>_xlfn.IFNA(INDEX(Stops!$2:$1048576,MATCH(R2,Stops!$A$2:$A$1048576,0),MATCH("stop_name",Stops!$1:$1,0)),IF(ISBLANK(R2),"",R2))</f>
        <v>Ashland</v>
      </c>
      <c r="S1" s="6" t="str">
        <f>_xlfn.IFNA(INDEX(Stops!$2:$1048576,MATCH(S2,Stops!$A$2:$A$1048576,0),MATCH("stop_name",Stops!$1:$1,0)),IF(ISBLANK(S2),"",S2))</f>
        <v>Lindenwold</v>
      </c>
      <c r="T1" s="7" t="str">
        <f>_xlfn.IFNA(INDEX(Stops!$2:$1048576,MATCH(T2,Stops!$A$2:$A$1048576,0),MATCH("stop_name",Stops!$1:$1,0)),IF(ISBLANK(T2),"",T2))</f>
        <v>Then Every</v>
      </c>
      <c r="U1" s="6" t="str">
        <f>_xlfn.IFNA(INDEX(Stops!$2:$1048576,MATCH(U2,Stops!$A$2:$A$1048576,0),MATCH("stop_name",Stops!$1:$1,0)),IF(ISBLANK(U2),"",U2))</f>
        <v>Until</v>
      </c>
    </row>
    <row r="2" spans="1:21" x14ac:dyDescent="0.2">
      <c r="A2" s="2" t="s">
        <v>14</v>
      </c>
      <c r="B2" s="2" t="s">
        <v>77</v>
      </c>
      <c r="C2" s="2" t="s">
        <v>24</v>
      </c>
      <c r="D2" s="2" t="s">
        <v>81</v>
      </c>
      <c r="E2" s="2" t="s">
        <v>78</v>
      </c>
      <c r="F2" s="2" t="s">
        <v>79</v>
      </c>
      <c r="G2" s="2" t="s">
        <v>140</v>
      </c>
      <c r="H2" s="2" t="s">
        <v>139</v>
      </c>
      <c r="I2" s="2" t="s">
        <v>131</v>
      </c>
      <c r="J2" s="2" t="s">
        <v>130</v>
      </c>
      <c r="K2" s="2" t="s">
        <v>128</v>
      </c>
      <c r="L2" s="2" t="s">
        <v>132</v>
      </c>
      <c r="M2" s="2" t="s">
        <v>133</v>
      </c>
      <c r="N2" s="2" t="s">
        <v>134</v>
      </c>
      <c r="O2" s="2" t="s">
        <v>135</v>
      </c>
      <c r="P2" s="2" t="s">
        <v>137</v>
      </c>
      <c r="Q2" s="2" t="s">
        <v>136</v>
      </c>
      <c r="R2" s="2" t="s">
        <v>129</v>
      </c>
      <c r="S2" s="2" t="s">
        <v>138</v>
      </c>
      <c r="T2" s="4" t="s">
        <v>83</v>
      </c>
      <c r="U2" s="2" t="s">
        <v>84</v>
      </c>
    </row>
    <row r="3" spans="1:21" x14ac:dyDescent="0.2">
      <c r="A3" t="s">
        <v>8</v>
      </c>
      <c r="B3">
        <v>0</v>
      </c>
      <c r="C3" t="s">
        <v>85</v>
      </c>
      <c r="D3" t="s">
        <v>88</v>
      </c>
      <c r="E3">
        <v>1</v>
      </c>
      <c r="F3">
        <v>1</v>
      </c>
      <c r="G3" s="1">
        <v>3.472222222222222E-3</v>
      </c>
      <c r="H3" s="1">
        <v>4.1666666666666666E-3</v>
      </c>
      <c r="I3" s="1">
        <v>4.8611111111111112E-3</v>
      </c>
      <c r="J3" s="1">
        <v>6.2499999999999995E-3</v>
      </c>
      <c r="K3" s="1">
        <v>9.7222222222222224E-3</v>
      </c>
      <c r="L3" s="1">
        <v>1.0416666666666666E-2</v>
      </c>
      <c r="M3" s="1">
        <v>1.2499999999999999E-2</v>
      </c>
      <c r="N3" s="1">
        <v>1.3888888888888888E-2</v>
      </c>
      <c r="O3" s="1">
        <v>1.5277777777777777E-2</v>
      </c>
      <c r="P3" s="1">
        <v>1.6666666666666666E-2</v>
      </c>
      <c r="Q3" s="1">
        <v>1.8749999999999999E-2</v>
      </c>
      <c r="R3" s="1">
        <v>2.013888888888889E-2</v>
      </c>
      <c r="S3" s="1">
        <v>2.2222222222222223E-2</v>
      </c>
      <c r="T3" s="5"/>
      <c r="U3" s="3"/>
    </row>
    <row r="4" spans="1:21" x14ac:dyDescent="0.2">
      <c r="A4" t="s">
        <v>8</v>
      </c>
      <c r="B4">
        <v>0</v>
      </c>
      <c r="C4" t="s">
        <v>85</v>
      </c>
      <c r="D4" t="s">
        <v>88</v>
      </c>
      <c r="E4">
        <v>1</v>
      </c>
      <c r="F4">
        <v>1</v>
      </c>
      <c r="G4" s="1">
        <v>2.361111111111111E-2</v>
      </c>
      <c r="H4" s="1">
        <v>2.4305555555555556E-2</v>
      </c>
      <c r="I4" s="1"/>
      <c r="J4" s="1">
        <v>2.6388888888888889E-2</v>
      </c>
      <c r="K4" s="1">
        <v>2.9861111111111113E-2</v>
      </c>
      <c r="L4" s="1">
        <v>3.0555555555555555E-2</v>
      </c>
      <c r="M4" s="1">
        <v>3.2638888888888891E-2</v>
      </c>
      <c r="N4" s="1">
        <v>3.4027777777777775E-2</v>
      </c>
      <c r="O4" s="1">
        <v>3.5416666666666666E-2</v>
      </c>
      <c r="P4" s="1">
        <v>3.6805555555555557E-2</v>
      </c>
      <c r="Q4" s="1">
        <v>3.888888888888889E-2</v>
      </c>
      <c r="R4" s="1">
        <v>4.027777777777778E-2</v>
      </c>
      <c r="S4" s="1">
        <v>4.2361111111111106E-2</v>
      </c>
      <c r="T4" s="5">
        <f>TIME(0,60,0)</f>
        <v>4.1666666666666664E-2</v>
      </c>
      <c r="U4" s="3">
        <v>0.14861111111111111</v>
      </c>
    </row>
    <row r="5" spans="1:21" x14ac:dyDescent="0.2">
      <c r="A5" t="s">
        <v>8</v>
      </c>
      <c r="B5">
        <v>0</v>
      </c>
      <c r="C5" t="s">
        <v>85</v>
      </c>
      <c r="D5" t="s">
        <v>88</v>
      </c>
      <c r="E5">
        <v>1</v>
      </c>
      <c r="F5">
        <v>1</v>
      </c>
      <c r="G5" s="1">
        <v>0.19027777777777777</v>
      </c>
      <c r="H5" s="1">
        <v>0.19097222222222221</v>
      </c>
      <c r="I5" s="1">
        <v>0.19166666666666665</v>
      </c>
      <c r="J5" s="1">
        <v>0.19305555555555554</v>
      </c>
      <c r="K5" s="1">
        <v>0.19652777777777777</v>
      </c>
      <c r="L5" s="1">
        <v>0.19722222222222222</v>
      </c>
      <c r="M5" s="1">
        <v>0.19930555555555554</v>
      </c>
      <c r="N5" s="1">
        <v>0.20069444444444443</v>
      </c>
      <c r="O5" s="1">
        <v>0.20208333333333331</v>
      </c>
      <c r="P5" s="1">
        <v>0.20347222222222219</v>
      </c>
      <c r="Q5" s="1">
        <v>0.20555555555555557</v>
      </c>
      <c r="R5" s="1">
        <v>0.20694444444444446</v>
      </c>
      <c r="S5" s="1">
        <v>0.20902777777777778</v>
      </c>
      <c r="T5" s="5"/>
    </row>
    <row r="6" spans="1:21" x14ac:dyDescent="0.2">
      <c r="A6" t="s">
        <v>8</v>
      </c>
      <c r="B6">
        <v>0</v>
      </c>
      <c r="C6" t="s">
        <v>85</v>
      </c>
      <c r="D6" t="s">
        <v>88</v>
      </c>
      <c r="E6">
        <v>1</v>
      </c>
      <c r="F6">
        <v>1</v>
      </c>
      <c r="G6" s="1">
        <v>0.23263888888888887</v>
      </c>
      <c r="H6" s="1">
        <v>0.23333333333333331</v>
      </c>
      <c r="I6" s="1">
        <v>0.23402777777777781</v>
      </c>
      <c r="J6" s="1">
        <v>0.23541666666666669</v>
      </c>
      <c r="K6" s="1">
        <v>0.2388888888888889</v>
      </c>
      <c r="L6" s="1">
        <v>0.23958333333333334</v>
      </c>
      <c r="M6" s="1">
        <v>0.24166666666666667</v>
      </c>
      <c r="N6" s="1">
        <v>0.24305555555555555</v>
      </c>
      <c r="O6" s="1">
        <v>0.24444444444444446</v>
      </c>
      <c r="P6" s="1">
        <v>0.24583333333333335</v>
      </c>
      <c r="Q6" s="1">
        <v>0.24791666666666667</v>
      </c>
      <c r="R6" s="1">
        <v>0.24930555555555556</v>
      </c>
      <c r="S6" s="1">
        <v>0.25138888888888888</v>
      </c>
      <c r="T6" s="5">
        <f>TIME(0,30,0)</f>
        <v>2.0833333333333332E-2</v>
      </c>
      <c r="U6" s="3">
        <v>0.31597222222222221</v>
      </c>
    </row>
    <row r="7" spans="1:21" x14ac:dyDescent="0.2">
      <c r="A7" t="s">
        <v>8</v>
      </c>
      <c r="B7">
        <v>0</v>
      </c>
      <c r="C7" t="s">
        <v>85</v>
      </c>
      <c r="D7" t="s">
        <v>88</v>
      </c>
      <c r="E7">
        <v>1</v>
      </c>
      <c r="F7">
        <v>1</v>
      </c>
      <c r="G7" s="1">
        <f>G6+TIME(2,54,)</f>
        <v>0.35347222222222219</v>
      </c>
      <c r="H7" s="1">
        <f t="shared" ref="H7:R7" si="0">H6+TIME(2,54,)</f>
        <v>0.35416666666666663</v>
      </c>
      <c r="I7" s="1">
        <f t="shared" si="0"/>
        <v>0.35486111111111113</v>
      </c>
      <c r="J7" s="1">
        <f t="shared" si="0"/>
        <v>0.35625000000000001</v>
      </c>
      <c r="K7" s="1">
        <f t="shared" si="0"/>
        <v>0.35972222222222222</v>
      </c>
      <c r="L7" s="1">
        <f t="shared" si="0"/>
        <v>0.36041666666666666</v>
      </c>
      <c r="M7" s="1">
        <f t="shared" si="0"/>
        <v>0.36249999999999999</v>
      </c>
      <c r="N7" s="1">
        <f t="shared" si="0"/>
        <v>0.36388888888888887</v>
      </c>
      <c r="O7" s="1">
        <f t="shared" si="0"/>
        <v>0.36527777777777781</v>
      </c>
      <c r="P7" s="1">
        <f t="shared" si="0"/>
        <v>0.3666666666666667</v>
      </c>
      <c r="Q7" s="1">
        <f t="shared" si="0"/>
        <v>0.36875000000000002</v>
      </c>
      <c r="R7" s="1">
        <f t="shared" si="0"/>
        <v>0.37013888888888891</v>
      </c>
      <c r="S7" s="1">
        <f>S6+TIME(2,54,)</f>
        <v>0.37222222222222223</v>
      </c>
      <c r="T7" s="5">
        <f>TIME(0,30,0)</f>
        <v>2.0833333333333332E-2</v>
      </c>
      <c r="U7" s="3">
        <v>0.7284722222222223</v>
      </c>
    </row>
    <row r="8" spans="1:21" x14ac:dyDescent="0.2">
      <c r="A8" t="s">
        <v>8</v>
      </c>
      <c r="B8">
        <v>0</v>
      </c>
      <c r="C8" t="s">
        <v>85</v>
      </c>
      <c r="D8" t="s">
        <v>88</v>
      </c>
      <c r="E8">
        <v>1</v>
      </c>
      <c r="F8">
        <v>1</v>
      </c>
      <c r="G8" s="1">
        <f>G7+TIME(9,27,)</f>
        <v>0.74722222222222223</v>
      </c>
      <c r="H8" s="1">
        <f t="shared" ref="H8:S8" si="1">H7+TIME(9,27,)</f>
        <v>0.74791666666666656</v>
      </c>
      <c r="I8" s="1">
        <f t="shared" si="1"/>
        <v>0.74861111111111112</v>
      </c>
      <c r="J8" s="1">
        <f t="shared" si="1"/>
        <v>0.75</v>
      </c>
      <c r="K8" s="1">
        <f t="shared" si="1"/>
        <v>0.75347222222222221</v>
      </c>
      <c r="L8" s="1">
        <f t="shared" si="1"/>
        <v>0.75416666666666665</v>
      </c>
      <c r="M8" s="1">
        <f t="shared" si="1"/>
        <v>0.75624999999999998</v>
      </c>
      <c r="N8" s="1">
        <f t="shared" si="1"/>
        <v>0.75763888888888886</v>
      </c>
      <c r="O8" s="1">
        <f t="shared" si="1"/>
        <v>0.75902777777777786</v>
      </c>
      <c r="P8" s="1">
        <f t="shared" si="1"/>
        <v>0.76041666666666674</v>
      </c>
      <c r="Q8" s="1">
        <f t="shared" si="1"/>
        <v>0.76249999999999996</v>
      </c>
      <c r="R8" s="1">
        <f t="shared" si="1"/>
        <v>0.76388888888888884</v>
      </c>
      <c r="S8" s="1">
        <f t="shared" si="1"/>
        <v>0.76597222222222228</v>
      </c>
      <c r="T8" s="5">
        <f>TIME(0,30,0)</f>
        <v>2.0833333333333332E-2</v>
      </c>
      <c r="U8" s="3">
        <v>0.78888888888888886</v>
      </c>
    </row>
    <row r="9" spans="1:21" x14ac:dyDescent="0.2">
      <c r="A9" t="s">
        <v>8</v>
      </c>
      <c r="B9">
        <v>0</v>
      </c>
      <c r="C9" t="s">
        <v>85</v>
      </c>
      <c r="D9" t="s">
        <v>88</v>
      </c>
      <c r="E9">
        <v>1</v>
      </c>
      <c r="F9">
        <v>1</v>
      </c>
      <c r="G9" s="1">
        <v>0.79513888888888884</v>
      </c>
      <c r="H9" s="1">
        <v>0.79583333333333328</v>
      </c>
      <c r="I9" s="1">
        <v>0.79652777777777783</v>
      </c>
      <c r="J9" s="1">
        <v>0.79791666666666672</v>
      </c>
      <c r="K9" s="1">
        <v>0.80138888888888893</v>
      </c>
      <c r="L9" s="1">
        <v>0.80208333333333337</v>
      </c>
      <c r="M9" s="1">
        <v>0.8041666666666667</v>
      </c>
      <c r="N9" s="1">
        <v>0.80555555555555558</v>
      </c>
      <c r="O9" s="1">
        <v>0.80694444444444446</v>
      </c>
      <c r="P9" s="1">
        <v>0.80833333333333335</v>
      </c>
      <c r="Q9" s="1">
        <v>0.81041666666666667</v>
      </c>
      <c r="R9" s="1">
        <v>0.81180555555555556</v>
      </c>
      <c r="S9" s="1">
        <v>0.81388888888888888</v>
      </c>
      <c r="T9" s="5">
        <f>TIME(0,30,0)</f>
        <v>2.0833333333333332E-2</v>
      </c>
      <c r="U9" s="3">
        <v>0.96180555555555547</v>
      </c>
    </row>
    <row r="10" spans="1:21" x14ac:dyDescent="0.2">
      <c r="A10" t="s">
        <v>8</v>
      </c>
      <c r="B10">
        <v>0</v>
      </c>
      <c r="C10" t="s">
        <v>85</v>
      </c>
      <c r="D10" t="s">
        <v>88</v>
      </c>
      <c r="E10">
        <v>1</v>
      </c>
      <c r="F10">
        <v>1</v>
      </c>
      <c r="G10" s="1">
        <v>0.98819444444444438</v>
      </c>
      <c r="H10" s="1">
        <f>G10-G9+H9</f>
        <v>0.98888888888888882</v>
      </c>
      <c r="I10" s="1">
        <f t="shared" ref="I10:S10" si="2">H10-H9+I9</f>
        <v>0.98958333333333337</v>
      </c>
      <c r="J10" s="1">
        <f t="shared" si="2"/>
        <v>0.99097222222222225</v>
      </c>
      <c r="K10" s="1">
        <f t="shared" si="2"/>
        <v>0.99444444444444446</v>
      </c>
      <c r="L10" s="1">
        <f t="shared" si="2"/>
        <v>0.99513888888888891</v>
      </c>
      <c r="M10" s="1">
        <f t="shared" si="2"/>
        <v>0.99722222222222223</v>
      </c>
      <c r="N10" s="1">
        <f t="shared" si="2"/>
        <v>0.99861111111111112</v>
      </c>
      <c r="O10" s="1">
        <f t="shared" si="2"/>
        <v>1</v>
      </c>
      <c r="P10" s="1">
        <f t="shared" si="2"/>
        <v>1.0013888888888889</v>
      </c>
      <c r="Q10" s="1">
        <f t="shared" si="2"/>
        <v>1.0034722222222223</v>
      </c>
      <c r="R10" s="1">
        <f t="shared" si="2"/>
        <v>1.0048611111111112</v>
      </c>
      <c r="S10" s="1">
        <f t="shared" si="2"/>
        <v>1.0069444444444446</v>
      </c>
      <c r="T10" s="5"/>
      <c r="U10" s="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D5850-9202-1C45-9E80-114EE7B1E8FE}">
  <dimension ref="A1:U62"/>
  <sheetViews>
    <sheetView workbookViewId="0">
      <selection activeCell="G2" sqref="G2:S2"/>
    </sheetView>
  </sheetViews>
  <sheetFormatPr baseColWidth="10" defaultRowHeight="16" x14ac:dyDescent="0.2"/>
  <cols>
    <col min="1" max="1" width="8" customWidth="1"/>
    <col min="2" max="2" width="5" customWidth="1"/>
    <col min="3" max="3" width="10.33203125" bestFit="1" customWidth="1"/>
    <col min="4" max="4" width="15.83203125" bestFit="1" customWidth="1"/>
    <col min="5" max="6" width="4" customWidth="1"/>
    <col min="7" max="19" width="8.1640625" bestFit="1" customWidth="1"/>
    <col min="20" max="20" width="10" bestFit="1" customWidth="1"/>
    <col min="21" max="21" width="5.6640625" bestFit="1" customWidth="1"/>
  </cols>
  <sheetData>
    <row r="1" spans="1:21" ht="92" x14ac:dyDescent="0.2">
      <c r="A1" s="6" t="str">
        <f>_xlfn.IFNA(INDEX(Stops!$2:$1048576,MATCH(A2,Stops!$A$2:$A$1048576,0),MATCH("stop_name",Stops!$1:$1,0)),IF(ISBLANK(A2),"",A2))</f>
        <v>route_id</v>
      </c>
      <c r="B1" s="6" t="str">
        <f>_xlfn.IFNA(INDEX(Stops!$2:$1048576,MATCH(B2,Stops!$A$2:$A$1048576,0),MATCH("stop_name",Stops!$1:$1,0)),IF(ISBLANK(B2),"",B2))</f>
        <v>direction_id</v>
      </c>
      <c r="C1" s="6" t="str">
        <f>_xlfn.IFNA(INDEX(Stops!$2:$1048576,MATCH(C2,Stops!$A$2:$A$1048576,0),MATCH("stop_name",Stops!$1:$1,0)),IF(ISBLANK(C2),"",C2))</f>
        <v>shape_id</v>
      </c>
      <c r="D1" s="6" t="str">
        <f>_xlfn.IFNA(INDEX(Stops!$2:$1048576,MATCH(D2,Stops!$A$2:$A$1048576,0),MATCH("stop_name",Stops!$1:$1,0)),IF(ISBLANK(D2),"",D2))</f>
        <v>headsign</v>
      </c>
      <c r="E1" s="6" t="str">
        <f>_xlfn.IFNA(INDEX(Stops!$2:$1048576,MATCH(E2,Stops!$A$2:$A$1048576,0),MATCH("stop_name",Stops!$1:$1,0)),IF(ISBLANK(E2),"",E2))</f>
        <v>wheelchair_accessible</v>
      </c>
      <c r="F1" s="6" t="str">
        <f>_xlfn.IFNA(INDEX(Stops!$2:$1048576,MATCH(F2,Stops!$A$2:$A$1048576,0),MATCH("stop_name",Stops!$1:$1,0)),IF(ISBLANK(F2),"",F2))</f>
        <v>bikes_allowed</v>
      </c>
      <c r="G1" s="6" t="str">
        <f>_xlfn.IFNA(INDEX(Stops!$2:$1048576,MATCH(G2,Stops!$A$2:$A$1048576,0),MATCH("stop_name",Stops!$1:$1,0)),IF(ISBLANK(G2),"",G2))</f>
        <v>Lindenwold</v>
      </c>
      <c r="H1" s="6" t="str">
        <f>_xlfn.IFNA(INDEX(Stops!$2:$1048576,MATCH(H2,Stops!$A$2:$A$1048576,0),MATCH("stop_name",Stops!$1:$1,0)),IF(ISBLANK(H2),"",H2))</f>
        <v>Ashland</v>
      </c>
      <c r="I1" s="6" t="str">
        <f>_xlfn.IFNA(INDEX(Stops!$2:$1048576,MATCH(I2,Stops!$A$2:$A$1048576,0),MATCH("stop_name",Stops!$1:$1,0)),IF(ISBLANK(I2),"",I2))</f>
        <v>Woodcrest</v>
      </c>
      <c r="J1" s="6" t="str">
        <f>_xlfn.IFNA(INDEX(Stops!$2:$1048576,MATCH(J2,Stops!$A$2:$A$1048576,0),MATCH("stop_name",Stops!$1:$1,0)),IF(ISBLANK(J2),"",J2))</f>
        <v>Haddonfield</v>
      </c>
      <c r="K1" s="6" t="str">
        <f>_xlfn.IFNA(INDEX(Stops!$2:$1048576,MATCH(K2,Stops!$A$2:$A$1048576,0),MATCH("stop_name",Stops!$1:$1,0)),IF(ISBLANK(K2),"",K2))</f>
        <v>Westmont</v>
      </c>
      <c r="L1" s="6" t="str">
        <f>_xlfn.IFNA(INDEX(Stops!$2:$1048576,MATCH(L2,Stops!$A$2:$A$1048576,0),MATCH("stop_name",Stops!$1:$1,0)),IF(ISBLANK(L2),"",L2))</f>
        <v>Collingswood</v>
      </c>
      <c r="M1" s="6" t="str">
        <f>_xlfn.IFNA(INDEX(Stops!$2:$1048576,MATCH(M2,Stops!$A$2:$A$1048576,0),MATCH("stop_name",Stops!$1:$1,0)),IF(ISBLANK(M2),"",M2))</f>
        <v>Ferry Avenue</v>
      </c>
      <c r="N1" s="6" t="str">
        <f>_xlfn.IFNA(INDEX(Stops!$2:$1048576,MATCH(N2,Stops!$A$2:$A$1048576,0),MATCH("stop_name",Stops!$1:$1,0)),IF(ISBLANK(N2),"",N2))</f>
        <v>Broadway</v>
      </c>
      <c r="O1" s="6" t="str">
        <f>_xlfn.IFNA(INDEX(Stops!$2:$1048576,MATCH(O2,Stops!$A$2:$A$1048576,0),MATCH("stop_name",Stops!$1:$1,0)),IF(ISBLANK(O2),"",O2))</f>
        <v>City Hall</v>
      </c>
      <c r="P1" s="6" t="str">
        <f>_xlfn.IFNA(INDEX(Stops!$2:$1048576,MATCH(P2,Stops!$A$2:$A$1048576,0),MATCH("stop_name",Stops!$1:$1,0)),IF(ISBLANK(P2),"",P2))</f>
        <v>8th and Market</v>
      </c>
      <c r="Q1" s="6" t="str">
        <f>_xlfn.IFNA(INDEX(Stops!$2:$1048576,MATCH(Q2,Stops!$A$2:$A$1048576,0),MATCH("stop_name",Stops!$1:$1,0)),IF(ISBLANK(Q2),"",Q2))</f>
        <v>9-10th and Locust</v>
      </c>
      <c r="R1" s="6" t="str">
        <f>_xlfn.IFNA(INDEX(Stops!$2:$1048576,MATCH(R2,Stops!$A$2:$A$1048576,0),MATCH("stop_name",Stops!$1:$1,0)),IF(ISBLANK(R2),"",R2))</f>
        <v>12-13th and Locust</v>
      </c>
      <c r="S1" s="6" t="str">
        <f>_xlfn.IFNA(INDEX(Stops!$2:$1048576,MATCH(S2,Stops!$A$2:$A$1048576,0),MATCH("stop_name",Stops!$1:$1,0)),IF(ISBLANK(S2),"",S2))</f>
        <v>15-16th and Locust</v>
      </c>
      <c r="T1" s="7" t="str">
        <f>_xlfn.IFNA(INDEX(Stops!$2:$1048576,MATCH(T2,Stops!$A$2:$A$1048576,0),MATCH("stop_name",Stops!$1:$1,0)),IF(ISBLANK(T2),"",T2))</f>
        <v>Then Every</v>
      </c>
      <c r="U1" s="6" t="str">
        <f>_xlfn.IFNA(INDEX(Stops!$2:$1048576,MATCH(U2,Stops!$A$2:$A$1048576,0),MATCH("stop_name",Stops!$1:$1,0)),IF(ISBLANK(U2),"",U2))</f>
        <v>Until</v>
      </c>
    </row>
    <row r="2" spans="1:21" x14ac:dyDescent="0.2">
      <c r="A2" s="2" t="s">
        <v>14</v>
      </c>
      <c r="B2" s="2" t="s">
        <v>77</v>
      </c>
      <c r="C2" s="2" t="s">
        <v>24</v>
      </c>
      <c r="D2" s="2" t="s">
        <v>81</v>
      </c>
      <c r="E2" s="2" t="s">
        <v>78</v>
      </c>
      <c r="F2" s="2" t="s">
        <v>79</v>
      </c>
      <c r="G2" s="2" t="s">
        <v>138</v>
      </c>
      <c r="H2" s="2" t="s">
        <v>129</v>
      </c>
      <c r="I2" s="2" t="s">
        <v>136</v>
      </c>
      <c r="J2" s="2" t="s">
        <v>137</v>
      </c>
      <c r="K2" s="2" t="s">
        <v>135</v>
      </c>
      <c r="L2" s="2" t="s">
        <v>134</v>
      </c>
      <c r="M2" s="2" t="s">
        <v>133</v>
      </c>
      <c r="N2" s="2" t="s">
        <v>132</v>
      </c>
      <c r="O2" s="2" t="s">
        <v>128</v>
      </c>
      <c r="P2" s="2" t="s">
        <v>130</v>
      </c>
      <c r="Q2" s="2" t="s">
        <v>131</v>
      </c>
      <c r="R2" s="2" t="s">
        <v>139</v>
      </c>
      <c r="S2" s="2" t="s">
        <v>140</v>
      </c>
      <c r="T2" s="4" t="s">
        <v>83</v>
      </c>
      <c r="U2" s="2" t="s">
        <v>84</v>
      </c>
    </row>
    <row r="3" spans="1:21" x14ac:dyDescent="0.2">
      <c r="A3" t="s">
        <v>8</v>
      </c>
      <c r="B3">
        <v>1</v>
      </c>
      <c r="C3" t="s">
        <v>87</v>
      </c>
      <c r="D3" t="s">
        <v>82</v>
      </c>
      <c r="E3">
        <v>1</v>
      </c>
      <c r="F3">
        <v>1</v>
      </c>
      <c r="G3" s="1">
        <f>G4-TIME(0,46,)</f>
        <v>9.7222222222222085E-3</v>
      </c>
      <c r="H3" s="1">
        <f t="shared" ref="H3:P3" si="0">H4-TIME(0,46,)</f>
        <v>1.1111111111111092E-2</v>
      </c>
      <c r="I3" s="1">
        <f t="shared" si="0"/>
        <v>1.1805555555555534E-2</v>
      </c>
      <c r="J3" s="1">
        <f t="shared" si="0"/>
        <v>1.388888888888886E-2</v>
      </c>
      <c r="K3" s="1">
        <f t="shared" si="0"/>
        <v>1.52777777777778E-2</v>
      </c>
      <c r="L3" s="1">
        <f t="shared" si="0"/>
        <v>1.6666666666666684E-2</v>
      </c>
      <c r="M3" s="1">
        <f t="shared" si="0"/>
        <v>1.8055555555555568E-2</v>
      </c>
      <c r="N3" s="1">
        <f t="shared" si="0"/>
        <v>2.0833333333333336E-2</v>
      </c>
      <c r="O3" s="1">
        <f t="shared" si="0"/>
        <v>2.222222222222222E-2</v>
      </c>
      <c r="P3" s="1">
        <f t="shared" si="0"/>
        <v>2.5694444444444457E-2</v>
      </c>
      <c r="Q3" s="1"/>
      <c r="R3" s="1">
        <v>2.7083333333333334E-2</v>
      </c>
      <c r="S3" s="1">
        <v>2.7777777777777776E-2</v>
      </c>
      <c r="T3" s="5"/>
      <c r="U3" s="3"/>
    </row>
    <row r="4" spans="1:21" x14ac:dyDescent="0.2">
      <c r="A4" t="s">
        <v>8</v>
      </c>
      <c r="B4">
        <v>1</v>
      </c>
      <c r="C4" t="s">
        <v>87</v>
      </c>
      <c r="D4" t="s">
        <v>82</v>
      </c>
      <c r="E4">
        <v>1</v>
      </c>
      <c r="F4">
        <v>1</v>
      </c>
      <c r="G4" s="1">
        <f>G5-TIME(3,,)</f>
        <v>4.1666666666666657E-2</v>
      </c>
      <c r="H4" s="1">
        <f t="shared" ref="H4:S4" si="1">H5-TIME(3,,)</f>
        <v>4.3055555555555541E-2</v>
      </c>
      <c r="I4" s="1">
        <f t="shared" si="1"/>
        <v>4.3749999999999983E-2</v>
      </c>
      <c r="J4" s="1">
        <f t="shared" si="1"/>
        <v>4.5833333333333309E-2</v>
      </c>
      <c r="K4" s="1">
        <f t="shared" si="1"/>
        <v>4.7222222222222249E-2</v>
      </c>
      <c r="L4" s="1">
        <f t="shared" si="1"/>
        <v>4.8611111111111133E-2</v>
      </c>
      <c r="M4" s="1">
        <f t="shared" si="1"/>
        <v>5.0000000000000017E-2</v>
      </c>
      <c r="N4" s="1">
        <f t="shared" si="1"/>
        <v>5.2777777777777785E-2</v>
      </c>
      <c r="O4" s="1">
        <f t="shared" si="1"/>
        <v>5.4166666666666669E-2</v>
      </c>
      <c r="P4" s="1">
        <f t="shared" si="1"/>
        <v>5.7638888888888906E-2</v>
      </c>
      <c r="Q4" s="1"/>
      <c r="R4" s="1">
        <f t="shared" si="1"/>
        <v>5.9722222222222232E-2</v>
      </c>
      <c r="S4" s="1">
        <f t="shared" si="1"/>
        <v>6.0416666666666674E-2</v>
      </c>
      <c r="T4" s="5">
        <f>TIME(0,60,0)</f>
        <v>4.1666666666666664E-2</v>
      </c>
      <c r="U4" s="3">
        <v>0.125</v>
      </c>
    </row>
    <row r="5" spans="1:21" x14ac:dyDescent="0.2">
      <c r="A5" t="s">
        <v>8</v>
      </c>
      <c r="B5">
        <v>1</v>
      </c>
      <c r="C5" t="s">
        <v>87</v>
      </c>
      <c r="D5" t="s">
        <v>82</v>
      </c>
      <c r="E5">
        <v>1</v>
      </c>
      <c r="F5">
        <v>1</v>
      </c>
      <c r="G5" s="1">
        <v>0.16666666666666666</v>
      </c>
      <c r="H5" s="1">
        <v>0.16805555555555554</v>
      </c>
      <c r="I5" s="1">
        <v>0.16874999999999998</v>
      </c>
      <c r="J5" s="1">
        <v>0.17083333333333331</v>
      </c>
      <c r="K5" s="1">
        <v>0.17222222222222225</v>
      </c>
      <c r="L5" s="1">
        <v>0.17361111111111113</v>
      </c>
      <c r="M5" s="1">
        <v>0.17500000000000002</v>
      </c>
      <c r="N5" s="1">
        <v>0.17777777777777778</v>
      </c>
      <c r="O5" s="1">
        <v>0.17916666666666667</v>
      </c>
      <c r="P5" s="1">
        <v>0.18263888888888891</v>
      </c>
      <c r="Q5" s="1">
        <v>0.18402777777777779</v>
      </c>
      <c r="R5" s="1">
        <v>0.18472222222222223</v>
      </c>
      <c r="S5" s="1">
        <v>0.18541666666666667</v>
      </c>
      <c r="T5" s="5"/>
    </row>
    <row r="6" spans="1:21" x14ac:dyDescent="0.2">
      <c r="A6" t="s">
        <v>8</v>
      </c>
      <c r="B6">
        <v>1</v>
      </c>
      <c r="C6" t="s">
        <v>87</v>
      </c>
      <c r="D6" t="s">
        <v>82</v>
      </c>
      <c r="E6">
        <v>1</v>
      </c>
      <c r="F6">
        <v>1</v>
      </c>
      <c r="G6" s="1">
        <v>0.1875</v>
      </c>
      <c r="H6" s="1">
        <v>0.18888888888888888</v>
      </c>
      <c r="I6" s="1">
        <v>0.18958333333333333</v>
      </c>
      <c r="J6" s="1">
        <v>0.19166666666666665</v>
      </c>
      <c r="K6" s="1">
        <v>0.19305555555555554</v>
      </c>
      <c r="L6" s="1">
        <v>0.19444444444444445</v>
      </c>
      <c r="M6" s="1">
        <v>0.19583333333333333</v>
      </c>
      <c r="N6" s="1">
        <v>0.1986111111111111</v>
      </c>
      <c r="O6" s="1">
        <v>0.19999999999999998</v>
      </c>
      <c r="P6" s="1">
        <v>0.20347222222222219</v>
      </c>
      <c r="Q6" s="1">
        <v>0.20486111111111113</v>
      </c>
      <c r="R6" s="1">
        <v>0.20555555555555557</v>
      </c>
      <c r="S6" s="1">
        <v>0.20625000000000002</v>
      </c>
      <c r="T6" s="5"/>
    </row>
    <row r="7" spans="1:21" x14ac:dyDescent="0.2">
      <c r="A7" t="s">
        <v>8</v>
      </c>
      <c r="B7">
        <v>1</v>
      </c>
      <c r="C7" t="s">
        <v>87</v>
      </c>
      <c r="D7" t="s">
        <v>82</v>
      </c>
      <c r="E7">
        <v>1</v>
      </c>
      <c r="F7">
        <v>1</v>
      </c>
      <c r="G7" s="1">
        <v>0.20833333333333334</v>
      </c>
      <c r="H7" s="1">
        <v>0.20972222222222223</v>
      </c>
      <c r="I7" s="1">
        <v>0.21041666666666667</v>
      </c>
      <c r="J7" s="1">
        <v>0.21249999999999999</v>
      </c>
      <c r="K7" s="1">
        <v>0.21388888888888891</v>
      </c>
      <c r="L7" s="1">
        <v>0.21527777777777779</v>
      </c>
      <c r="M7" s="1">
        <v>0.21666666666666667</v>
      </c>
      <c r="N7" s="1">
        <v>0.21944444444444444</v>
      </c>
      <c r="O7" s="1">
        <v>0.22083333333333333</v>
      </c>
      <c r="P7" s="1">
        <v>0.22430555555555556</v>
      </c>
      <c r="Q7" s="1">
        <v>0.22569444444444445</v>
      </c>
      <c r="R7" s="1">
        <v>0.22638888888888889</v>
      </c>
      <c r="S7" s="1">
        <v>0.22708333333333333</v>
      </c>
      <c r="T7" s="5"/>
    </row>
    <row r="8" spans="1:21" x14ac:dyDescent="0.2">
      <c r="A8" t="s">
        <v>8</v>
      </c>
      <c r="B8">
        <v>1</v>
      </c>
      <c r="C8" t="s">
        <v>87</v>
      </c>
      <c r="D8" t="s">
        <v>82</v>
      </c>
      <c r="E8">
        <v>1</v>
      </c>
      <c r="F8">
        <v>1</v>
      </c>
      <c r="G8" s="1">
        <v>0.21875</v>
      </c>
      <c r="H8" s="1">
        <v>0.22013888888888888</v>
      </c>
      <c r="I8" s="1">
        <v>0.22083333333333333</v>
      </c>
      <c r="J8" s="1">
        <v>0.22291666666666665</v>
      </c>
      <c r="K8" s="1">
        <v>0.22430555555555556</v>
      </c>
      <c r="L8" s="1">
        <v>0.22569444444444445</v>
      </c>
      <c r="M8" s="1">
        <v>0.22708333333333333</v>
      </c>
      <c r="N8" s="1">
        <v>0.2298611111111111</v>
      </c>
      <c r="O8" s="1">
        <v>0.23124999999999998</v>
      </c>
      <c r="P8" s="1">
        <v>0.23472222222222219</v>
      </c>
      <c r="Q8" s="1">
        <v>0.23611111111111113</v>
      </c>
      <c r="R8" s="1">
        <v>0.23680555555555557</v>
      </c>
      <c r="S8" s="1">
        <v>0.23750000000000002</v>
      </c>
      <c r="T8" s="5"/>
    </row>
    <row r="9" spans="1:21" x14ac:dyDescent="0.2">
      <c r="A9" t="s">
        <v>8</v>
      </c>
      <c r="B9">
        <v>1</v>
      </c>
      <c r="C9" t="s">
        <v>87</v>
      </c>
      <c r="D9" t="s">
        <v>82</v>
      </c>
      <c r="E9">
        <v>1</v>
      </c>
      <c r="F9">
        <v>1</v>
      </c>
      <c r="G9" s="1">
        <v>0.22916666666666666</v>
      </c>
      <c r="H9" s="1">
        <v>0.23055555555555554</v>
      </c>
      <c r="I9" s="1">
        <v>0.23124999999999998</v>
      </c>
      <c r="J9" s="1">
        <v>0.23333333333333331</v>
      </c>
      <c r="K9" s="1">
        <v>0.23472222222222219</v>
      </c>
      <c r="L9" s="1">
        <v>0.23611111111111113</v>
      </c>
      <c r="M9" s="1">
        <v>0.23750000000000002</v>
      </c>
      <c r="N9" s="1">
        <v>0.24027777777777778</v>
      </c>
      <c r="O9" s="1">
        <v>0.24166666666666667</v>
      </c>
      <c r="P9" s="1">
        <v>0.24513888888888888</v>
      </c>
      <c r="Q9" s="1">
        <v>0.24652777777777779</v>
      </c>
      <c r="R9" s="1">
        <v>0.24722222222222223</v>
      </c>
      <c r="S9" s="1">
        <v>0.24791666666666667</v>
      </c>
      <c r="T9" s="5"/>
    </row>
    <row r="10" spans="1:21" x14ac:dyDescent="0.2">
      <c r="A10" t="s">
        <v>8</v>
      </c>
      <c r="B10">
        <v>1</v>
      </c>
      <c r="C10" t="s">
        <v>87</v>
      </c>
      <c r="D10" t="s">
        <v>82</v>
      </c>
      <c r="E10">
        <v>1</v>
      </c>
      <c r="F10">
        <v>1</v>
      </c>
      <c r="G10" s="1">
        <v>0.23958333333333334</v>
      </c>
      <c r="H10" s="1">
        <v>0.24097222222222223</v>
      </c>
      <c r="I10" s="1">
        <v>0.24166666666666667</v>
      </c>
      <c r="J10" s="1">
        <v>0.24374999999999999</v>
      </c>
      <c r="K10" s="1">
        <v>0.24513888888888888</v>
      </c>
      <c r="L10" s="1">
        <v>0.24652777777777779</v>
      </c>
      <c r="M10" s="1">
        <v>0.24791666666666667</v>
      </c>
      <c r="N10" s="1">
        <v>0.25069444444444444</v>
      </c>
      <c r="O10" s="1">
        <v>0.25208333333333333</v>
      </c>
      <c r="P10" s="1">
        <v>0.25555555555555559</v>
      </c>
      <c r="Q10" s="1">
        <v>0.25694444444444448</v>
      </c>
      <c r="R10" s="1">
        <v>0.25763888888888892</v>
      </c>
      <c r="S10" s="1">
        <v>0.25833333333333336</v>
      </c>
      <c r="T10" s="5"/>
    </row>
    <row r="11" spans="1:21" x14ac:dyDescent="0.2">
      <c r="A11" t="s">
        <v>8</v>
      </c>
      <c r="B11">
        <v>1</v>
      </c>
      <c r="C11" t="s">
        <v>87</v>
      </c>
      <c r="D11" t="s">
        <v>82</v>
      </c>
      <c r="E11">
        <v>1</v>
      </c>
      <c r="F11">
        <v>1</v>
      </c>
      <c r="G11" s="1">
        <v>0.25</v>
      </c>
      <c r="H11" s="1">
        <v>0.25138888888888888</v>
      </c>
      <c r="I11" s="1">
        <v>0.25208333333333333</v>
      </c>
      <c r="J11" s="1">
        <v>0.25416666666666665</v>
      </c>
      <c r="K11" s="1">
        <v>0.25555555555555559</v>
      </c>
      <c r="L11" s="1">
        <v>0.25694444444444448</v>
      </c>
      <c r="M11" s="1">
        <v>0.25833333333333336</v>
      </c>
      <c r="N11" s="1">
        <v>0.26111111111111113</v>
      </c>
      <c r="O11" s="1">
        <v>0.26250000000000001</v>
      </c>
      <c r="P11" s="1">
        <v>0.26597222222222222</v>
      </c>
      <c r="Q11" s="1">
        <v>0.2673611111111111</v>
      </c>
      <c r="R11" s="1">
        <v>0.26805555555555555</v>
      </c>
      <c r="S11" s="1">
        <v>0.26874999999999999</v>
      </c>
      <c r="T11" s="5"/>
    </row>
    <row r="12" spans="1:21" x14ac:dyDescent="0.2">
      <c r="A12" t="s">
        <v>8</v>
      </c>
      <c r="B12">
        <v>1</v>
      </c>
      <c r="C12" t="s">
        <v>87</v>
      </c>
      <c r="D12" t="s">
        <v>82</v>
      </c>
      <c r="E12">
        <v>1</v>
      </c>
      <c r="F12">
        <v>1</v>
      </c>
      <c r="G12" s="1">
        <v>0.25694444444444448</v>
      </c>
      <c r="H12" s="1">
        <v>0.25833333333333336</v>
      </c>
      <c r="I12" s="1">
        <v>0.2590277777777778</v>
      </c>
      <c r="J12" s="1">
        <v>0.26111111111111113</v>
      </c>
      <c r="K12" s="1">
        <v>0.26250000000000001</v>
      </c>
      <c r="L12" s="1">
        <v>0.2638888888888889</v>
      </c>
      <c r="M12" s="1">
        <v>0.26527777777777778</v>
      </c>
      <c r="N12" s="1">
        <v>0.26805555555555555</v>
      </c>
      <c r="O12" s="1">
        <v>0.26944444444444443</v>
      </c>
      <c r="P12" s="1">
        <v>0.27291666666666664</v>
      </c>
      <c r="Q12" s="1">
        <v>0.27430555555555552</v>
      </c>
      <c r="R12" s="1">
        <v>0.27499999999999997</v>
      </c>
      <c r="S12" s="1">
        <v>0.27569444444444446</v>
      </c>
      <c r="T12" s="5"/>
    </row>
    <row r="13" spans="1:21" x14ac:dyDescent="0.2">
      <c r="A13" t="s">
        <v>8</v>
      </c>
      <c r="B13">
        <v>1</v>
      </c>
      <c r="C13" t="s">
        <v>87</v>
      </c>
      <c r="D13" t="s">
        <v>82</v>
      </c>
      <c r="E13">
        <v>1</v>
      </c>
      <c r="F13">
        <v>1</v>
      </c>
      <c r="G13" s="1">
        <v>0.2638888888888889</v>
      </c>
      <c r="H13" s="1">
        <v>0.26527777777777778</v>
      </c>
      <c r="I13" s="1">
        <v>0.26597222222222222</v>
      </c>
      <c r="J13" s="1">
        <v>0.26805555555555555</v>
      </c>
      <c r="K13" s="1">
        <v>0.26944444444444443</v>
      </c>
      <c r="L13" s="1">
        <v>0.27083333333333331</v>
      </c>
      <c r="M13" s="1">
        <v>0.2722222222222222</v>
      </c>
      <c r="N13" s="1">
        <v>0.27499999999999997</v>
      </c>
      <c r="O13" s="1">
        <v>0.27638888888888885</v>
      </c>
      <c r="P13" s="1">
        <v>0.27986111111111112</v>
      </c>
      <c r="Q13" s="1">
        <v>0.28125</v>
      </c>
      <c r="R13" s="1">
        <v>0.28194444444444444</v>
      </c>
      <c r="S13" s="1">
        <v>0.28263888888888888</v>
      </c>
      <c r="T13" s="5"/>
    </row>
    <row r="14" spans="1:21" x14ac:dyDescent="0.2">
      <c r="A14" t="s">
        <v>8</v>
      </c>
      <c r="B14">
        <v>1</v>
      </c>
      <c r="C14" t="s">
        <v>87</v>
      </c>
      <c r="D14" t="s">
        <v>82</v>
      </c>
      <c r="E14">
        <v>1</v>
      </c>
      <c r="F14">
        <v>1</v>
      </c>
      <c r="G14" s="1">
        <v>0.27083333333333331</v>
      </c>
      <c r="H14" s="1">
        <v>0.2722222222222222</v>
      </c>
      <c r="I14" s="1">
        <v>0.27291666666666664</v>
      </c>
      <c r="J14" s="1">
        <v>0.27499999999999997</v>
      </c>
      <c r="K14" s="1">
        <v>0.27638888888888885</v>
      </c>
      <c r="L14" s="1">
        <v>0.27777777777777779</v>
      </c>
      <c r="M14" s="1">
        <v>0.27916666666666667</v>
      </c>
      <c r="N14" s="1">
        <v>0.28194444444444444</v>
      </c>
      <c r="O14" s="1">
        <v>0.28333333333333333</v>
      </c>
      <c r="P14" s="1">
        <v>0.28680555555555554</v>
      </c>
      <c r="Q14" s="1">
        <v>0.28819444444444448</v>
      </c>
      <c r="R14" s="1">
        <v>0.28888888888888892</v>
      </c>
      <c r="S14" s="1">
        <v>0.28958333333333336</v>
      </c>
      <c r="T14" s="5"/>
    </row>
    <row r="15" spans="1:21" x14ac:dyDescent="0.2">
      <c r="A15" t="s">
        <v>8</v>
      </c>
      <c r="B15">
        <v>1</v>
      </c>
      <c r="C15" t="s">
        <v>87</v>
      </c>
      <c r="D15" t="s">
        <v>82</v>
      </c>
      <c r="E15">
        <v>1</v>
      </c>
      <c r="F15">
        <v>1</v>
      </c>
      <c r="G15" s="1">
        <v>0.27777777777777779</v>
      </c>
      <c r="H15" s="1">
        <v>0.27916666666666667</v>
      </c>
      <c r="I15" s="1">
        <v>0.27986111111111112</v>
      </c>
      <c r="J15" s="1">
        <v>0.28194444444444444</v>
      </c>
      <c r="K15" s="1">
        <v>0.28333333333333333</v>
      </c>
      <c r="L15" s="1">
        <v>0.28472222222222221</v>
      </c>
      <c r="M15" s="1">
        <v>0.28611111111111115</v>
      </c>
      <c r="N15" s="1">
        <v>0.28888888888888892</v>
      </c>
      <c r="O15" s="1">
        <v>0.2902777777777778</v>
      </c>
      <c r="P15" s="1">
        <v>0.29375000000000001</v>
      </c>
      <c r="Q15" s="1">
        <v>0.2951388888888889</v>
      </c>
      <c r="R15" s="1">
        <v>0.29583333333333334</v>
      </c>
      <c r="S15" s="1">
        <v>0.29652777777777778</v>
      </c>
      <c r="T15" s="5"/>
    </row>
    <row r="16" spans="1:21" x14ac:dyDescent="0.2">
      <c r="A16" t="s">
        <v>8</v>
      </c>
      <c r="B16">
        <v>1</v>
      </c>
      <c r="C16" t="s">
        <v>87</v>
      </c>
      <c r="D16" t="s">
        <v>82</v>
      </c>
      <c r="E16">
        <v>1</v>
      </c>
      <c r="F16">
        <v>1</v>
      </c>
      <c r="G16" s="1">
        <v>0.28472222222222221</v>
      </c>
      <c r="H16" s="1">
        <v>0.28611111111111115</v>
      </c>
      <c r="I16" s="1">
        <v>0.28680555555555554</v>
      </c>
      <c r="J16" s="1">
        <v>0.28888888888888892</v>
      </c>
      <c r="K16" s="1">
        <v>0.2902777777777778</v>
      </c>
      <c r="L16" s="1">
        <v>0.29166666666666669</v>
      </c>
      <c r="M16" s="1">
        <v>0.29305555555555557</v>
      </c>
      <c r="N16" s="1">
        <v>0.29583333333333334</v>
      </c>
      <c r="O16" s="1">
        <v>0.29722222222222222</v>
      </c>
      <c r="P16" s="1">
        <v>0.30069444444444443</v>
      </c>
      <c r="Q16" s="1">
        <v>0.30208333333333331</v>
      </c>
      <c r="R16" s="1">
        <v>0.30277777777777776</v>
      </c>
      <c r="S16" s="1">
        <v>0.3034722222222222</v>
      </c>
      <c r="T16" s="5"/>
    </row>
    <row r="17" spans="1:20" x14ac:dyDescent="0.2">
      <c r="A17" t="s">
        <v>8</v>
      </c>
      <c r="B17">
        <v>1</v>
      </c>
      <c r="C17" t="s">
        <v>87</v>
      </c>
      <c r="D17" t="s">
        <v>82</v>
      </c>
      <c r="E17">
        <v>1</v>
      </c>
      <c r="F17">
        <v>1</v>
      </c>
      <c r="G17" s="1">
        <v>0.2902777777777778</v>
      </c>
      <c r="H17" s="1">
        <v>0.29166666666666669</v>
      </c>
      <c r="I17" s="1">
        <v>0.29236111111111113</v>
      </c>
      <c r="J17" s="1">
        <v>0.29444444444444445</v>
      </c>
      <c r="K17" s="1">
        <v>0.29583333333333334</v>
      </c>
      <c r="L17" s="1">
        <v>0.29722222222222222</v>
      </c>
      <c r="M17" s="1">
        <v>0.2986111111111111</v>
      </c>
      <c r="N17" s="1">
        <v>0.30138888888888887</v>
      </c>
      <c r="O17" s="1">
        <v>0.30277777777777776</v>
      </c>
      <c r="P17" s="1">
        <v>0.30624999999999997</v>
      </c>
      <c r="Q17" s="1">
        <v>0.30763888888888891</v>
      </c>
      <c r="R17" s="1">
        <v>0.30833333333333335</v>
      </c>
      <c r="S17" s="1">
        <v>0.30902777777777779</v>
      </c>
      <c r="T17" s="5"/>
    </row>
    <row r="18" spans="1:20" x14ac:dyDescent="0.2">
      <c r="A18" t="s">
        <v>8</v>
      </c>
      <c r="B18">
        <v>1</v>
      </c>
      <c r="C18" t="s">
        <v>87</v>
      </c>
      <c r="D18" t="s">
        <v>82</v>
      </c>
      <c r="E18">
        <v>1</v>
      </c>
      <c r="F18">
        <v>1</v>
      </c>
      <c r="G18" s="1">
        <v>0.29444444444444445</v>
      </c>
      <c r="H18" s="1">
        <v>0.29583333333333334</v>
      </c>
      <c r="I18" s="1">
        <v>0.29652777777777778</v>
      </c>
      <c r="J18" s="1">
        <v>0.2986111111111111</v>
      </c>
      <c r="K18" s="1">
        <v>0.3</v>
      </c>
      <c r="L18" s="1">
        <v>0.30138888888888887</v>
      </c>
      <c r="M18" s="1">
        <v>0.30277777777777776</v>
      </c>
      <c r="N18" s="1">
        <v>0.30555555555555552</v>
      </c>
      <c r="O18" s="1">
        <v>0.30694444444444441</v>
      </c>
      <c r="P18" s="1">
        <v>0.31041666666666667</v>
      </c>
      <c r="Q18" s="1">
        <v>0.31180555555555556</v>
      </c>
      <c r="R18" s="1">
        <v>0.3125</v>
      </c>
      <c r="S18" s="1">
        <v>0.31319444444444444</v>
      </c>
      <c r="T18" s="5"/>
    </row>
    <row r="19" spans="1:20" x14ac:dyDescent="0.2">
      <c r="A19" t="s">
        <v>8</v>
      </c>
      <c r="B19">
        <v>1</v>
      </c>
      <c r="C19" t="s">
        <v>87</v>
      </c>
      <c r="D19" t="s">
        <v>82</v>
      </c>
      <c r="E19">
        <v>1</v>
      </c>
      <c r="F19">
        <v>1</v>
      </c>
      <c r="G19" s="1">
        <v>0.2986111111111111</v>
      </c>
      <c r="H19" s="1">
        <v>0.3</v>
      </c>
      <c r="I19" s="1">
        <v>0.30069444444444443</v>
      </c>
      <c r="J19" s="1">
        <v>0.30277777777777776</v>
      </c>
      <c r="K19" s="1">
        <v>0.30416666666666664</v>
      </c>
      <c r="L19" s="1">
        <v>0.30555555555555552</v>
      </c>
      <c r="M19" s="1">
        <v>0.30694444444444441</v>
      </c>
      <c r="N19" s="1">
        <v>0.30972222222222223</v>
      </c>
      <c r="O19" s="1">
        <v>0.31111111111111112</v>
      </c>
      <c r="P19" s="1">
        <v>0.31458333333333333</v>
      </c>
      <c r="Q19" s="1">
        <v>0.31597222222222221</v>
      </c>
      <c r="R19" s="1">
        <v>0.31666666666666665</v>
      </c>
      <c r="S19" s="1">
        <v>0.31736111111111115</v>
      </c>
      <c r="T19" s="5"/>
    </row>
    <row r="20" spans="1:20" x14ac:dyDescent="0.2">
      <c r="A20" t="s">
        <v>8</v>
      </c>
      <c r="B20">
        <v>1</v>
      </c>
      <c r="C20" t="s">
        <v>87</v>
      </c>
      <c r="D20" t="s">
        <v>82</v>
      </c>
      <c r="E20">
        <v>1</v>
      </c>
      <c r="F20">
        <v>1</v>
      </c>
      <c r="G20" s="1">
        <v>0.30277777777777776</v>
      </c>
      <c r="H20" s="1">
        <v>0.30416666666666664</v>
      </c>
      <c r="I20" s="1">
        <v>0.30486111111111108</v>
      </c>
      <c r="J20" s="1">
        <v>0.30694444444444441</v>
      </c>
      <c r="K20" s="1">
        <v>0.30833333333333335</v>
      </c>
      <c r="L20" s="1">
        <v>0.30972222222222223</v>
      </c>
      <c r="M20" s="1">
        <v>0.31111111111111112</v>
      </c>
      <c r="N20" s="1">
        <v>0.31388888888888888</v>
      </c>
      <c r="O20" s="1">
        <v>0.31527777777777777</v>
      </c>
      <c r="P20" s="1">
        <v>0.31875000000000003</v>
      </c>
      <c r="Q20" s="1">
        <v>0.32013888888888892</v>
      </c>
      <c r="R20" s="1">
        <v>0.32083333333333336</v>
      </c>
      <c r="S20" s="1">
        <v>0.3215277777777778</v>
      </c>
      <c r="T20" s="5"/>
    </row>
    <row r="21" spans="1:20" x14ac:dyDescent="0.2">
      <c r="A21" t="s">
        <v>8</v>
      </c>
      <c r="B21">
        <v>1</v>
      </c>
      <c r="C21" t="s">
        <v>87</v>
      </c>
      <c r="D21" t="s">
        <v>82</v>
      </c>
      <c r="E21">
        <v>1</v>
      </c>
      <c r="F21">
        <v>1</v>
      </c>
      <c r="G21" s="1">
        <v>0.30694444444444441</v>
      </c>
      <c r="H21" s="1">
        <v>0.30833333333333335</v>
      </c>
      <c r="I21" s="1">
        <v>0.30902777777777779</v>
      </c>
      <c r="J21" s="1">
        <v>0.31111111111111112</v>
      </c>
      <c r="K21" s="1">
        <v>0.3125</v>
      </c>
      <c r="L21" s="1">
        <v>0.31388888888888888</v>
      </c>
      <c r="M21" s="1">
        <v>0.31527777777777777</v>
      </c>
      <c r="N21" s="1">
        <v>0.31805555555555554</v>
      </c>
      <c r="O21" s="1">
        <v>0.31944444444444448</v>
      </c>
      <c r="P21" s="1">
        <v>0.32291666666666669</v>
      </c>
      <c r="Q21" s="1">
        <v>0.32430555555555557</v>
      </c>
      <c r="R21" s="1">
        <v>0.32500000000000001</v>
      </c>
      <c r="S21" s="1">
        <v>0.32569444444444445</v>
      </c>
      <c r="T21" s="5"/>
    </row>
    <row r="22" spans="1:20" x14ac:dyDescent="0.2">
      <c r="A22" t="s">
        <v>8</v>
      </c>
      <c r="B22">
        <v>1</v>
      </c>
      <c r="C22" t="s">
        <v>87</v>
      </c>
      <c r="D22" t="s">
        <v>82</v>
      </c>
      <c r="E22">
        <v>1</v>
      </c>
      <c r="F22">
        <v>1</v>
      </c>
      <c r="G22" s="1">
        <v>0.31111111111111112</v>
      </c>
      <c r="H22" s="1">
        <v>0.3125</v>
      </c>
      <c r="I22" s="1">
        <v>0.31319444444444444</v>
      </c>
      <c r="J22" s="1">
        <v>0.31527777777777777</v>
      </c>
      <c r="K22" s="1">
        <v>0.31666666666666665</v>
      </c>
      <c r="L22" s="1">
        <v>0.31805555555555554</v>
      </c>
      <c r="M22" s="1">
        <v>0.31944444444444448</v>
      </c>
      <c r="N22" s="1">
        <v>0.32222222222222224</v>
      </c>
      <c r="O22" s="1">
        <v>0.32361111111111113</v>
      </c>
      <c r="P22" s="1">
        <v>0.32708333333333334</v>
      </c>
      <c r="Q22" s="1">
        <v>0.32847222222222222</v>
      </c>
      <c r="R22" s="1">
        <v>0.32916666666666666</v>
      </c>
      <c r="S22" s="1">
        <v>0.3298611111111111</v>
      </c>
      <c r="T22" s="5"/>
    </row>
    <row r="23" spans="1:20" x14ac:dyDescent="0.2">
      <c r="A23" t="s">
        <v>8</v>
      </c>
      <c r="B23">
        <v>1</v>
      </c>
      <c r="C23" t="s">
        <v>87</v>
      </c>
      <c r="D23" t="s">
        <v>82</v>
      </c>
      <c r="E23">
        <v>1</v>
      </c>
      <c r="F23">
        <v>1</v>
      </c>
      <c r="G23" s="1">
        <v>0.31666666666666665</v>
      </c>
      <c r="H23" s="1">
        <v>0.31805555555555554</v>
      </c>
      <c r="I23" s="1">
        <v>0.31875000000000003</v>
      </c>
      <c r="J23" s="1">
        <v>0.32083333333333336</v>
      </c>
      <c r="K23" s="1">
        <v>0.32222222222222224</v>
      </c>
      <c r="L23" s="1">
        <v>0.32361111111111113</v>
      </c>
      <c r="M23" s="1">
        <v>0.32500000000000001</v>
      </c>
      <c r="N23" s="1">
        <v>0.32777777777777778</v>
      </c>
      <c r="O23" s="1">
        <v>0.32916666666666666</v>
      </c>
      <c r="P23" s="1">
        <v>0.33263888888888887</v>
      </c>
      <c r="Q23" s="1">
        <v>0.33402777777777781</v>
      </c>
      <c r="R23" s="1">
        <v>0.3347222222222222</v>
      </c>
      <c r="S23" s="1">
        <v>0.3354166666666667</v>
      </c>
      <c r="T23" s="5"/>
    </row>
    <row r="24" spans="1:20" x14ac:dyDescent="0.2">
      <c r="A24" t="s">
        <v>8</v>
      </c>
      <c r="B24">
        <v>1</v>
      </c>
      <c r="C24" t="s">
        <v>87</v>
      </c>
      <c r="D24" t="s">
        <v>82</v>
      </c>
      <c r="E24">
        <v>1</v>
      </c>
      <c r="F24">
        <v>1</v>
      </c>
      <c r="G24" s="1">
        <v>0.32083333333333336</v>
      </c>
      <c r="H24" s="1">
        <v>0.32222222222222224</v>
      </c>
      <c r="I24" s="1">
        <v>0.32291666666666669</v>
      </c>
      <c r="J24" s="1">
        <v>0.32500000000000001</v>
      </c>
      <c r="K24" s="1">
        <v>0.3263888888888889</v>
      </c>
      <c r="L24" s="1">
        <v>0.32777777777777778</v>
      </c>
      <c r="M24" s="1">
        <v>0.32916666666666666</v>
      </c>
      <c r="N24" s="1">
        <v>0.33194444444444443</v>
      </c>
      <c r="O24" s="1">
        <v>0.33333333333333331</v>
      </c>
      <c r="P24" s="1">
        <v>0.33680555555555558</v>
      </c>
      <c r="Q24" s="1">
        <v>0.33819444444444446</v>
      </c>
      <c r="R24" s="1">
        <v>0.33888888888888885</v>
      </c>
      <c r="S24" s="1">
        <v>0.33958333333333335</v>
      </c>
      <c r="T24" s="5"/>
    </row>
    <row r="25" spans="1:20" x14ac:dyDescent="0.2">
      <c r="A25" t="s">
        <v>8</v>
      </c>
      <c r="B25">
        <v>1</v>
      </c>
      <c r="C25" t="s">
        <v>87</v>
      </c>
      <c r="D25" t="s">
        <v>82</v>
      </c>
      <c r="E25">
        <v>1</v>
      </c>
      <c r="F25">
        <v>1</v>
      </c>
      <c r="G25" s="1">
        <v>0.32500000000000001</v>
      </c>
      <c r="H25" s="1">
        <v>0.3263888888888889</v>
      </c>
      <c r="I25" s="1">
        <v>0.32708333333333334</v>
      </c>
      <c r="J25" s="1">
        <v>0.32916666666666666</v>
      </c>
      <c r="K25" s="1">
        <v>0.33055555555555555</v>
      </c>
      <c r="L25" s="1">
        <v>0.33194444444444443</v>
      </c>
      <c r="M25" s="1">
        <v>0.33333333333333331</v>
      </c>
      <c r="N25" s="1">
        <v>0.33611111111111108</v>
      </c>
      <c r="O25" s="1">
        <v>0.33749999999999997</v>
      </c>
      <c r="P25" s="1">
        <v>0.34097222222222223</v>
      </c>
      <c r="Q25" s="1">
        <v>0.34236111111111112</v>
      </c>
      <c r="R25" s="1">
        <v>0.3430555555555555</v>
      </c>
      <c r="S25" s="1">
        <v>0.34375</v>
      </c>
      <c r="T25" s="5"/>
    </row>
    <row r="26" spans="1:20" x14ac:dyDescent="0.2">
      <c r="A26" t="s">
        <v>8</v>
      </c>
      <c r="B26">
        <v>1</v>
      </c>
      <c r="C26" t="s">
        <v>87</v>
      </c>
      <c r="D26" t="s">
        <v>82</v>
      </c>
      <c r="E26">
        <v>1</v>
      </c>
      <c r="F26">
        <v>1</v>
      </c>
      <c r="G26" s="1">
        <v>0.33055555555555555</v>
      </c>
      <c r="H26" s="1">
        <v>0.33194444444444443</v>
      </c>
      <c r="I26" s="1">
        <v>0.33263888888888887</v>
      </c>
      <c r="J26" s="1">
        <v>0.3347222222222222</v>
      </c>
      <c r="K26" s="1">
        <v>0.33611111111111108</v>
      </c>
      <c r="L26" s="1">
        <v>0.33749999999999997</v>
      </c>
      <c r="M26" s="1">
        <v>0.33888888888888885</v>
      </c>
      <c r="N26" s="1">
        <v>0.34166666666666662</v>
      </c>
      <c r="O26" s="1">
        <v>0.3430555555555555</v>
      </c>
      <c r="P26" s="1">
        <v>0.34652777777777777</v>
      </c>
      <c r="Q26" s="1">
        <v>0.34791666666666665</v>
      </c>
      <c r="R26" s="1">
        <v>0.34861111111111115</v>
      </c>
      <c r="S26" s="1">
        <v>0.34930555555555554</v>
      </c>
      <c r="T26" s="5"/>
    </row>
    <row r="27" spans="1:20" x14ac:dyDescent="0.2">
      <c r="A27" t="s">
        <v>8</v>
      </c>
      <c r="B27">
        <v>1</v>
      </c>
      <c r="C27" t="s">
        <v>87</v>
      </c>
      <c r="D27" t="s">
        <v>82</v>
      </c>
      <c r="E27">
        <v>1</v>
      </c>
      <c r="F27">
        <v>1</v>
      </c>
      <c r="G27" s="1">
        <v>0.3347222222222222</v>
      </c>
      <c r="H27" s="1">
        <v>0.33611111111111108</v>
      </c>
      <c r="I27" s="1">
        <v>0.33680555555555558</v>
      </c>
      <c r="J27" s="1">
        <v>0.33888888888888885</v>
      </c>
      <c r="K27" s="1">
        <v>0.34027777777777773</v>
      </c>
      <c r="L27" s="1">
        <v>0.34166666666666662</v>
      </c>
      <c r="M27" s="1">
        <v>0.3430555555555555</v>
      </c>
      <c r="N27" s="1">
        <v>0.34583333333333338</v>
      </c>
      <c r="O27" s="1">
        <v>0.34722222222222227</v>
      </c>
      <c r="P27" s="1">
        <v>0.35069444444444442</v>
      </c>
      <c r="Q27" s="1">
        <v>0.3520833333333333</v>
      </c>
      <c r="R27" s="1">
        <v>0.3527777777777778</v>
      </c>
      <c r="S27" s="1">
        <v>0.35347222222222219</v>
      </c>
      <c r="T27" s="5"/>
    </row>
    <row r="28" spans="1:20" x14ac:dyDescent="0.2">
      <c r="A28" t="s">
        <v>8</v>
      </c>
      <c r="B28">
        <v>1</v>
      </c>
      <c r="C28" t="s">
        <v>87</v>
      </c>
      <c r="D28" t="s">
        <v>82</v>
      </c>
      <c r="E28">
        <v>1</v>
      </c>
      <c r="F28">
        <v>1</v>
      </c>
      <c r="G28" s="1">
        <v>0.34027777777777773</v>
      </c>
      <c r="H28" s="1">
        <v>0.34166666666666662</v>
      </c>
      <c r="I28" s="1">
        <v>0.34236111111111112</v>
      </c>
      <c r="J28" s="1">
        <v>0.3444444444444445</v>
      </c>
      <c r="K28" s="1">
        <v>0.34583333333333338</v>
      </c>
      <c r="L28" s="1">
        <v>0.34722222222222227</v>
      </c>
      <c r="M28" s="1">
        <v>0.34861111111111115</v>
      </c>
      <c r="N28" s="1">
        <v>0.35138888888888892</v>
      </c>
      <c r="O28" s="1">
        <v>0.3527777777777778</v>
      </c>
      <c r="P28" s="1">
        <v>0.35625000000000001</v>
      </c>
      <c r="Q28" s="1">
        <v>0.3576388888888889</v>
      </c>
      <c r="R28" s="1">
        <v>0.35833333333333334</v>
      </c>
      <c r="S28" s="1">
        <v>0.35902777777777778</v>
      </c>
      <c r="T28" s="5"/>
    </row>
    <row r="29" spans="1:20" x14ac:dyDescent="0.2">
      <c r="A29" t="s">
        <v>8</v>
      </c>
      <c r="B29">
        <v>1</v>
      </c>
      <c r="C29" t="s">
        <v>87</v>
      </c>
      <c r="D29" t="s">
        <v>82</v>
      </c>
      <c r="E29">
        <v>1</v>
      </c>
      <c r="F29">
        <v>1</v>
      </c>
      <c r="G29" s="1">
        <v>0.34375</v>
      </c>
      <c r="H29" s="1">
        <v>0.34513888888888888</v>
      </c>
      <c r="I29" s="1">
        <v>0.34583333333333338</v>
      </c>
      <c r="J29" s="1">
        <v>0.34791666666666665</v>
      </c>
      <c r="K29" s="1">
        <v>0.34930555555555554</v>
      </c>
      <c r="L29" s="1">
        <v>0.35069444444444442</v>
      </c>
      <c r="M29" s="1">
        <v>0.3520833333333333</v>
      </c>
      <c r="N29" s="1">
        <v>0.35486111111111113</v>
      </c>
      <c r="O29" s="1">
        <v>0.35625000000000001</v>
      </c>
      <c r="P29" s="1">
        <v>0.35972222222222222</v>
      </c>
      <c r="Q29" s="1">
        <v>0.3611111111111111</v>
      </c>
      <c r="R29" s="1">
        <v>0.36180555555555555</v>
      </c>
      <c r="S29" s="1">
        <v>0.36249999999999999</v>
      </c>
      <c r="T29" s="5"/>
    </row>
    <row r="30" spans="1:20" x14ac:dyDescent="0.2">
      <c r="A30" t="s">
        <v>8</v>
      </c>
      <c r="B30">
        <v>1</v>
      </c>
      <c r="C30" t="s">
        <v>87</v>
      </c>
      <c r="D30" t="s">
        <v>82</v>
      </c>
      <c r="E30">
        <v>1</v>
      </c>
      <c r="F30">
        <v>1</v>
      </c>
      <c r="G30" s="1">
        <v>0.34722222222222227</v>
      </c>
      <c r="H30" s="1">
        <v>0.34861111111111115</v>
      </c>
      <c r="I30" s="1">
        <v>0.34930555555555554</v>
      </c>
      <c r="J30" s="1">
        <v>0.35138888888888892</v>
      </c>
      <c r="K30" s="1">
        <v>0.3527777777777778</v>
      </c>
      <c r="L30" s="1">
        <v>0.35416666666666669</v>
      </c>
      <c r="M30" s="1">
        <v>0.35555555555555557</v>
      </c>
      <c r="N30" s="1">
        <v>0.35833333333333334</v>
      </c>
      <c r="O30" s="1">
        <v>0.35972222222222222</v>
      </c>
      <c r="P30" s="1">
        <v>0.36319444444444443</v>
      </c>
      <c r="Q30" s="1">
        <v>0.36458333333333331</v>
      </c>
      <c r="R30" s="1">
        <v>0.36527777777777781</v>
      </c>
      <c r="S30" s="1">
        <v>0.3659722222222222</v>
      </c>
      <c r="T30" s="5"/>
    </row>
    <row r="31" spans="1:20" x14ac:dyDescent="0.2">
      <c r="A31" t="s">
        <v>8</v>
      </c>
      <c r="B31">
        <v>1</v>
      </c>
      <c r="C31" t="s">
        <v>87</v>
      </c>
      <c r="D31" t="s">
        <v>82</v>
      </c>
      <c r="E31">
        <v>1</v>
      </c>
      <c r="F31">
        <v>1</v>
      </c>
      <c r="G31" s="1">
        <v>0.3520833333333333</v>
      </c>
      <c r="H31" s="1">
        <v>0.35347222222222219</v>
      </c>
      <c r="I31" s="1">
        <v>0.35416666666666669</v>
      </c>
      <c r="J31" s="1">
        <v>0.35625000000000001</v>
      </c>
      <c r="K31" s="1">
        <v>0.3576388888888889</v>
      </c>
      <c r="L31" s="1">
        <v>0.35902777777777778</v>
      </c>
      <c r="M31" s="1">
        <v>0.36041666666666666</v>
      </c>
      <c r="N31" s="1">
        <v>0.36319444444444443</v>
      </c>
      <c r="O31" s="1">
        <v>0.36458333333333331</v>
      </c>
      <c r="P31" s="1">
        <v>0.36805555555555558</v>
      </c>
      <c r="Q31" s="1">
        <v>0.36944444444444446</v>
      </c>
      <c r="R31" s="1">
        <v>0.37013888888888885</v>
      </c>
      <c r="S31" s="1">
        <v>0.37083333333333335</v>
      </c>
      <c r="T31" s="5"/>
    </row>
    <row r="32" spans="1:20" x14ac:dyDescent="0.2">
      <c r="A32" t="s">
        <v>8</v>
      </c>
      <c r="B32">
        <v>1</v>
      </c>
      <c r="C32" t="s">
        <v>87</v>
      </c>
      <c r="D32" t="s">
        <v>82</v>
      </c>
      <c r="E32">
        <v>1</v>
      </c>
      <c r="F32">
        <v>1</v>
      </c>
      <c r="G32" s="1">
        <v>0.35694444444444445</v>
      </c>
      <c r="H32" s="1">
        <v>0.35833333333333334</v>
      </c>
      <c r="I32" s="1">
        <v>0.35902777777777778</v>
      </c>
      <c r="J32" s="1">
        <v>0.3611111111111111</v>
      </c>
      <c r="K32" s="1">
        <v>0.36249999999999999</v>
      </c>
      <c r="L32" s="1">
        <v>0.36388888888888887</v>
      </c>
      <c r="M32" s="1">
        <v>0.36527777777777781</v>
      </c>
      <c r="N32" s="1">
        <v>0.36805555555555558</v>
      </c>
      <c r="O32" s="1">
        <v>0.36944444444444446</v>
      </c>
      <c r="P32" s="1">
        <v>0.37291666666666662</v>
      </c>
      <c r="Q32" s="1">
        <v>0.3743055555555555</v>
      </c>
      <c r="R32" s="1">
        <v>0.375</v>
      </c>
      <c r="S32" s="1">
        <v>0.3756944444444445</v>
      </c>
      <c r="T32" s="5"/>
    </row>
    <row r="33" spans="1:21" x14ac:dyDescent="0.2">
      <c r="A33" t="s">
        <v>8</v>
      </c>
      <c r="B33">
        <v>1</v>
      </c>
      <c r="C33" t="s">
        <v>87</v>
      </c>
      <c r="D33" t="s">
        <v>82</v>
      </c>
      <c r="E33">
        <v>1</v>
      </c>
      <c r="F33">
        <v>1</v>
      </c>
      <c r="G33" s="1">
        <v>0.36180555555555555</v>
      </c>
      <c r="H33" s="1">
        <v>0.36319444444444443</v>
      </c>
      <c r="I33" s="1">
        <v>0.36388888888888887</v>
      </c>
      <c r="J33" s="1">
        <v>0.3659722222222222</v>
      </c>
      <c r="K33" s="1">
        <v>0.36736111111111108</v>
      </c>
      <c r="L33" s="1">
        <v>0.36874999999999997</v>
      </c>
      <c r="M33" s="1">
        <v>0.37013888888888885</v>
      </c>
      <c r="N33" s="1">
        <v>0.37291666666666662</v>
      </c>
      <c r="O33" s="1">
        <v>0.3743055555555555</v>
      </c>
      <c r="P33" s="1">
        <v>0.37777777777777777</v>
      </c>
      <c r="Q33" s="1">
        <v>0.37916666666666665</v>
      </c>
      <c r="R33" s="1">
        <v>0.37986111111111115</v>
      </c>
      <c r="S33" s="1">
        <v>0.38055555555555554</v>
      </c>
      <c r="T33" s="5"/>
    </row>
    <row r="34" spans="1:21" x14ac:dyDescent="0.2">
      <c r="A34" t="s">
        <v>8</v>
      </c>
      <c r="B34">
        <v>1</v>
      </c>
      <c r="C34" t="s">
        <v>87</v>
      </c>
      <c r="D34" t="s">
        <v>82</v>
      </c>
      <c r="E34">
        <v>1</v>
      </c>
      <c r="F34">
        <v>1</v>
      </c>
      <c r="G34" s="1">
        <v>0.3659722222222222</v>
      </c>
      <c r="H34" s="1">
        <v>0.36736111111111108</v>
      </c>
      <c r="I34" s="1">
        <v>0.36805555555555558</v>
      </c>
      <c r="J34" s="1">
        <v>0.37013888888888885</v>
      </c>
      <c r="K34" s="1">
        <v>0.37152777777777773</v>
      </c>
      <c r="L34" s="1">
        <v>0.37291666666666662</v>
      </c>
      <c r="M34" s="1">
        <v>0.3743055555555555</v>
      </c>
      <c r="N34" s="1">
        <v>0.37708333333333338</v>
      </c>
      <c r="O34" s="1">
        <v>0.37847222222222227</v>
      </c>
      <c r="P34" s="1">
        <v>0.38194444444444442</v>
      </c>
      <c r="Q34" s="1">
        <v>0.3833333333333333</v>
      </c>
      <c r="R34" s="1">
        <v>0.3840277777777778</v>
      </c>
      <c r="S34" s="1">
        <v>0.38472222222222219</v>
      </c>
      <c r="T34" s="5"/>
    </row>
    <row r="35" spans="1:21" x14ac:dyDescent="0.2">
      <c r="A35" t="s">
        <v>8</v>
      </c>
      <c r="B35">
        <v>1</v>
      </c>
      <c r="C35" t="s">
        <v>87</v>
      </c>
      <c r="D35" t="s">
        <v>82</v>
      </c>
      <c r="E35">
        <v>1</v>
      </c>
      <c r="F35">
        <v>1</v>
      </c>
      <c r="G35" s="1">
        <v>0.37152777777777773</v>
      </c>
      <c r="H35" s="1">
        <v>0.37291666666666662</v>
      </c>
      <c r="I35" s="1">
        <v>0.37361111111111112</v>
      </c>
      <c r="J35" s="1">
        <v>0.3756944444444445</v>
      </c>
      <c r="K35" s="1">
        <v>0.37708333333333338</v>
      </c>
      <c r="L35" s="1">
        <v>0.37847222222222227</v>
      </c>
      <c r="M35" s="1">
        <v>0.37986111111111115</v>
      </c>
      <c r="N35" s="1">
        <v>0.38263888888888892</v>
      </c>
      <c r="O35" s="1">
        <v>0.3840277777777778</v>
      </c>
      <c r="P35" s="1">
        <v>0.38750000000000001</v>
      </c>
      <c r="Q35" s="1">
        <v>0.3888888888888889</v>
      </c>
      <c r="R35" s="1">
        <v>0.38958333333333334</v>
      </c>
      <c r="S35" s="1">
        <v>0.39027777777777778</v>
      </c>
      <c r="T35" s="5"/>
    </row>
    <row r="36" spans="1:21" x14ac:dyDescent="0.2">
      <c r="A36" t="s">
        <v>8</v>
      </c>
      <c r="B36">
        <v>1</v>
      </c>
      <c r="C36" t="s">
        <v>87</v>
      </c>
      <c r="D36" t="s">
        <v>82</v>
      </c>
      <c r="E36">
        <v>1</v>
      </c>
      <c r="F36">
        <v>1</v>
      </c>
      <c r="G36" s="1">
        <v>0.37847222222222227</v>
      </c>
      <c r="H36" s="1">
        <v>0.37986111111111115</v>
      </c>
      <c r="I36" s="1">
        <v>0.38055555555555554</v>
      </c>
      <c r="J36" s="1">
        <v>0.38263888888888892</v>
      </c>
      <c r="K36" s="1">
        <v>0.3840277777777778</v>
      </c>
      <c r="L36" s="1">
        <v>0.38541666666666669</v>
      </c>
      <c r="M36" s="1">
        <v>0.38680555555555557</v>
      </c>
      <c r="N36" s="1">
        <v>0.38958333333333334</v>
      </c>
      <c r="O36" s="1">
        <v>0.39097222222222222</v>
      </c>
      <c r="P36" s="1">
        <v>0.39444444444444443</v>
      </c>
      <c r="Q36" s="1">
        <v>0.39583333333333331</v>
      </c>
      <c r="R36" s="1">
        <v>0.39652777777777781</v>
      </c>
      <c r="S36" s="1">
        <v>0.3972222222222222</v>
      </c>
      <c r="T36" s="5"/>
    </row>
    <row r="37" spans="1:21" x14ac:dyDescent="0.2">
      <c r="A37" t="s">
        <v>8</v>
      </c>
      <c r="B37">
        <v>1</v>
      </c>
      <c r="C37" t="s">
        <v>87</v>
      </c>
      <c r="D37" t="s">
        <v>82</v>
      </c>
      <c r="E37">
        <v>1</v>
      </c>
      <c r="F37">
        <v>1</v>
      </c>
      <c r="G37" s="1">
        <v>0.38541666666666669</v>
      </c>
      <c r="H37" s="1">
        <v>0.38680555555555557</v>
      </c>
      <c r="I37" s="1">
        <v>0.38750000000000001</v>
      </c>
      <c r="J37" s="1">
        <v>0.38958333333333334</v>
      </c>
      <c r="K37" s="1">
        <v>0.39097222222222222</v>
      </c>
      <c r="L37" s="1">
        <v>0.3923611111111111</v>
      </c>
      <c r="M37" s="1">
        <v>0.39374999999999999</v>
      </c>
      <c r="N37" s="1">
        <v>0.39652777777777781</v>
      </c>
      <c r="O37" s="1">
        <v>0.3979166666666667</v>
      </c>
      <c r="P37" s="1">
        <v>0.40138888888888885</v>
      </c>
      <c r="Q37" s="1">
        <v>0.40277777777777773</v>
      </c>
      <c r="R37" s="1">
        <v>0.40347222222222223</v>
      </c>
      <c r="S37" s="1">
        <v>0.40416666666666662</v>
      </c>
      <c r="T37" s="5">
        <f>TIME(0,15,0)</f>
        <v>1.0416666666666666E-2</v>
      </c>
      <c r="U37" s="3">
        <v>0.58333333333333337</v>
      </c>
    </row>
    <row r="38" spans="1:21" x14ac:dyDescent="0.2">
      <c r="A38" t="s">
        <v>8</v>
      </c>
      <c r="B38">
        <v>1</v>
      </c>
      <c r="C38" t="s">
        <v>87</v>
      </c>
      <c r="D38" t="s">
        <v>82</v>
      </c>
      <c r="E38">
        <v>1</v>
      </c>
      <c r="F38">
        <v>1</v>
      </c>
      <c r="G38" s="1">
        <v>0.59166666666666667</v>
      </c>
      <c r="H38" s="1">
        <v>0.59305555555555556</v>
      </c>
      <c r="I38" s="1">
        <v>0.59375</v>
      </c>
      <c r="J38" s="1">
        <v>0.59583333333333333</v>
      </c>
      <c r="K38" s="1">
        <v>0.59722222222222221</v>
      </c>
      <c r="L38" s="1">
        <v>0.59861111111111109</v>
      </c>
      <c r="M38" s="1">
        <v>0.6</v>
      </c>
      <c r="N38" s="1">
        <v>0.60277777777777775</v>
      </c>
      <c r="O38" s="1">
        <v>0.60416666666666663</v>
      </c>
      <c r="P38" s="1">
        <v>0.60763888888888895</v>
      </c>
      <c r="Q38" s="1">
        <v>0.60902777777777783</v>
      </c>
      <c r="R38" s="1">
        <v>0.60972222222222217</v>
      </c>
      <c r="S38" s="1">
        <v>0.61041666666666672</v>
      </c>
      <c r="T38" s="5"/>
    </row>
    <row r="39" spans="1:21" x14ac:dyDescent="0.2">
      <c r="A39" t="s">
        <v>8</v>
      </c>
      <c r="B39">
        <v>1</v>
      </c>
      <c r="C39" t="s">
        <v>87</v>
      </c>
      <c r="D39" t="s">
        <v>82</v>
      </c>
      <c r="E39">
        <v>1</v>
      </c>
      <c r="F39">
        <v>1</v>
      </c>
      <c r="G39" s="1">
        <v>0.6</v>
      </c>
      <c r="H39" s="1">
        <v>0.60138888888888886</v>
      </c>
      <c r="I39" s="1">
        <v>0.6020833333333333</v>
      </c>
      <c r="J39" s="1">
        <v>0.60416666666666663</v>
      </c>
      <c r="K39" s="1">
        <v>0.60555555555555551</v>
      </c>
      <c r="L39" s="1">
        <v>0.6069444444444444</v>
      </c>
      <c r="M39" s="1">
        <v>0.60833333333333328</v>
      </c>
      <c r="N39" s="1">
        <v>0.61111111111111105</v>
      </c>
      <c r="O39" s="1">
        <v>0.61249999999999993</v>
      </c>
      <c r="P39" s="1">
        <v>0.61597222222222225</v>
      </c>
      <c r="Q39" s="1">
        <v>0.61736111111111114</v>
      </c>
      <c r="R39" s="1">
        <v>0.61805555555555558</v>
      </c>
      <c r="S39" s="1">
        <v>0.61875000000000002</v>
      </c>
      <c r="T39" s="5"/>
    </row>
    <row r="40" spans="1:21" x14ac:dyDescent="0.2">
      <c r="A40" t="s">
        <v>8</v>
      </c>
      <c r="B40">
        <v>1</v>
      </c>
      <c r="C40" t="s">
        <v>87</v>
      </c>
      <c r="D40" t="s">
        <v>82</v>
      </c>
      <c r="E40">
        <v>1</v>
      </c>
      <c r="F40">
        <v>1</v>
      </c>
      <c r="G40" s="1">
        <v>0.60833333333333328</v>
      </c>
      <c r="H40" s="1">
        <v>0.60972222222222217</v>
      </c>
      <c r="I40" s="1">
        <v>0.61041666666666672</v>
      </c>
      <c r="J40" s="1">
        <v>0.61249999999999993</v>
      </c>
      <c r="K40" s="1">
        <v>0.61388888888888882</v>
      </c>
      <c r="L40" s="1">
        <v>0.61527777777777781</v>
      </c>
      <c r="M40" s="1">
        <v>0.6166666666666667</v>
      </c>
      <c r="N40" s="1">
        <v>0.61944444444444446</v>
      </c>
      <c r="O40" s="1">
        <v>0.62083333333333335</v>
      </c>
      <c r="P40" s="1">
        <v>0.62430555555555556</v>
      </c>
      <c r="Q40" s="1">
        <v>0.62569444444444444</v>
      </c>
      <c r="R40" s="1">
        <v>0.62638888888888888</v>
      </c>
      <c r="S40" s="1">
        <v>0.62708333333333333</v>
      </c>
      <c r="T40" s="5"/>
    </row>
    <row r="41" spans="1:21" x14ac:dyDescent="0.2">
      <c r="A41" t="s">
        <v>8</v>
      </c>
      <c r="B41">
        <v>1</v>
      </c>
      <c r="C41" t="s">
        <v>87</v>
      </c>
      <c r="D41" t="s">
        <v>82</v>
      </c>
      <c r="E41">
        <v>1</v>
      </c>
      <c r="F41">
        <v>1</v>
      </c>
      <c r="G41" s="1">
        <v>0.6166666666666667</v>
      </c>
      <c r="H41" s="1">
        <v>0.61805555555555558</v>
      </c>
      <c r="I41" s="1">
        <v>0.61875000000000002</v>
      </c>
      <c r="J41" s="1">
        <v>0.62083333333333335</v>
      </c>
      <c r="K41" s="1">
        <v>0.62222222222222223</v>
      </c>
      <c r="L41" s="1">
        <v>0.62361111111111112</v>
      </c>
      <c r="M41" s="1">
        <v>0.625</v>
      </c>
      <c r="N41" s="1">
        <v>0.62777777777777777</v>
      </c>
      <c r="O41" s="1">
        <v>0.62916666666666665</v>
      </c>
      <c r="P41" s="1">
        <v>0.63263888888888886</v>
      </c>
      <c r="Q41" s="1">
        <v>0.63402777777777775</v>
      </c>
      <c r="R41" s="1">
        <v>0.63472222222222219</v>
      </c>
      <c r="S41" s="1">
        <v>0.63541666666666663</v>
      </c>
      <c r="T41" s="5"/>
    </row>
    <row r="42" spans="1:21" x14ac:dyDescent="0.2">
      <c r="A42" t="s">
        <v>8</v>
      </c>
      <c r="B42">
        <v>1</v>
      </c>
      <c r="C42" t="s">
        <v>87</v>
      </c>
      <c r="D42" t="s">
        <v>82</v>
      </c>
      <c r="E42">
        <v>1</v>
      </c>
      <c r="F42">
        <v>1</v>
      </c>
      <c r="G42" s="1">
        <v>0.625</v>
      </c>
      <c r="H42" s="1">
        <v>0.62638888888888888</v>
      </c>
      <c r="I42" s="1">
        <v>0.62708333333333333</v>
      </c>
      <c r="J42" s="1">
        <v>0.62916666666666665</v>
      </c>
      <c r="K42" s="1">
        <v>0.63055555555555554</v>
      </c>
      <c r="L42" s="1">
        <v>0.63194444444444442</v>
      </c>
      <c r="M42" s="1">
        <v>0.6333333333333333</v>
      </c>
      <c r="N42" s="1">
        <v>0.63611111111111118</v>
      </c>
      <c r="O42" s="1">
        <v>0.63750000000000007</v>
      </c>
      <c r="P42" s="1">
        <v>0.64097222222222217</v>
      </c>
      <c r="Q42" s="1">
        <v>0.64236111111111105</v>
      </c>
      <c r="R42" s="1">
        <v>0.6430555555555556</v>
      </c>
      <c r="S42" s="1">
        <v>0.64374999999999993</v>
      </c>
      <c r="T42" s="5"/>
    </row>
    <row r="43" spans="1:21" x14ac:dyDescent="0.2">
      <c r="A43" t="s">
        <v>8</v>
      </c>
      <c r="B43">
        <v>1</v>
      </c>
      <c r="C43" t="s">
        <v>87</v>
      </c>
      <c r="D43" t="s">
        <v>82</v>
      </c>
      <c r="E43">
        <v>1</v>
      </c>
      <c r="F43">
        <v>1</v>
      </c>
      <c r="G43" s="1">
        <v>0.63194444444444442</v>
      </c>
      <c r="H43" s="1">
        <v>0.6333333333333333</v>
      </c>
      <c r="I43" s="1">
        <v>0.63402777777777775</v>
      </c>
      <c r="J43" s="1">
        <v>0.63611111111111118</v>
      </c>
      <c r="K43" s="1">
        <v>0.63750000000000007</v>
      </c>
      <c r="L43" s="1">
        <v>0.63888888888888895</v>
      </c>
      <c r="M43" s="1">
        <v>0.64027777777777783</v>
      </c>
      <c r="N43" s="1">
        <v>0.6430555555555556</v>
      </c>
      <c r="O43" s="1">
        <v>0.64444444444444449</v>
      </c>
      <c r="P43" s="1">
        <v>0.6479166666666667</v>
      </c>
      <c r="Q43" s="1">
        <v>0.64930555555555558</v>
      </c>
      <c r="R43" s="1">
        <v>0.65</v>
      </c>
      <c r="S43" s="1">
        <v>0.65069444444444446</v>
      </c>
      <c r="T43" s="5"/>
    </row>
    <row r="44" spans="1:21" x14ac:dyDescent="0.2">
      <c r="A44" t="s">
        <v>8</v>
      </c>
      <c r="B44">
        <v>1</v>
      </c>
      <c r="C44" t="s">
        <v>87</v>
      </c>
      <c r="D44" t="s">
        <v>82</v>
      </c>
      <c r="E44">
        <v>1</v>
      </c>
      <c r="F44">
        <v>1</v>
      </c>
      <c r="G44" s="1">
        <v>0.63888888888888895</v>
      </c>
      <c r="H44" s="1">
        <v>0.64027777777777783</v>
      </c>
      <c r="I44" s="1">
        <v>0.64097222222222217</v>
      </c>
      <c r="J44" s="1">
        <v>0.6430555555555556</v>
      </c>
      <c r="K44" s="1">
        <v>0.64444444444444449</v>
      </c>
      <c r="L44" s="1">
        <v>0.64583333333333337</v>
      </c>
      <c r="M44" s="1">
        <v>0.64722222222222225</v>
      </c>
      <c r="N44" s="1">
        <v>0.65</v>
      </c>
      <c r="O44" s="1">
        <v>0.65138888888888891</v>
      </c>
      <c r="P44" s="1">
        <v>0.65486111111111112</v>
      </c>
      <c r="Q44" s="1">
        <v>0.65625</v>
      </c>
      <c r="R44" s="1">
        <v>0.65694444444444444</v>
      </c>
      <c r="S44" s="1">
        <v>0.65763888888888888</v>
      </c>
      <c r="T44" s="5"/>
    </row>
    <row r="45" spans="1:21" x14ac:dyDescent="0.2">
      <c r="A45" t="s">
        <v>8</v>
      </c>
      <c r="B45">
        <v>1</v>
      </c>
      <c r="C45" t="s">
        <v>87</v>
      </c>
      <c r="D45" t="s">
        <v>82</v>
      </c>
      <c r="E45">
        <v>1</v>
      </c>
      <c r="F45">
        <v>1</v>
      </c>
      <c r="G45" s="1">
        <v>0.64583333333333337</v>
      </c>
      <c r="H45" s="1">
        <v>0.64722222222222225</v>
      </c>
      <c r="I45" s="1">
        <v>0.6479166666666667</v>
      </c>
      <c r="J45" s="1">
        <v>0.65</v>
      </c>
      <c r="K45" s="1">
        <v>0.65138888888888891</v>
      </c>
      <c r="L45" s="1">
        <v>0.65277777777777779</v>
      </c>
      <c r="M45" s="1">
        <v>0.65416666666666667</v>
      </c>
      <c r="N45" s="1">
        <v>0.65694444444444444</v>
      </c>
      <c r="O45" s="1">
        <v>0.65833333333333333</v>
      </c>
      <c r="P45" s="1">
        <v>0.66180555555555554</v>
      </c>
      <c r="Q45" s="1">
        <v>0.66319444444444442</v>
      </c>
      <c r="R45" s="1">
        <v>0.66388888888888886</v>
      </c>
      <c r="S45" s="1">
        <v>0.6645833333333333</v>
      </c>
      <c r="T45" s="5"/>
    </row>
    <row r="46" spans="1:21" x14ac:dyDescent="0.2">
      <c r="A46" t="s">
        <v>8</v>
      </c>
      <c r="B46">
        <v>1</v>
      </c>
      <c r="C46" t="s">
        <v>87</v>
      </c>
      <c r="D46" t="s">
        <v>82</v>
      </c>
      <c r="E46">
        <v>1</v>
      </c>
      <c r="F46">
        <v>1</v>
      </c>
      <c r="G46" s="1">
        <v>0.65208333333333335</v>
      </c>
      <c r="H46" s="1">
        <v>0.65347222222222223</v>
      </c>
      <c r="I46" s="1">
        <v>0.65416666666666667</v>
      </c>
      <c r="J46" s="1">
        <v>0.65625</v>
      </c>
      <c r="K46" s="1">
        <v>0.65763888888888888</v>
      </c>
      <c r="L46" s="1">
        <v>0.65902777777777777</v>
      </c>
      <c r="M46" s="1">
        <v>0.66041666666666665</v>
      </c>
      <c r="N46" s="1">
        <v>0.66319444444444442</v>
      </c>
      <c r="O46" s="1">
        <v>0.6645833333333333</v>
      </c>
      <c r="P46" s="1">
        <v>0.66805555555555562</v>
      </c>
      <c r="Q46" s="1">
        <v>0.6694444444444444</v>
      </c>
      <c r="R46" s="1">
        <v>0.67013888888888884</v>
      </c>
      <c r="S46" s="1">
        <v>0.67083333333333339</v>
      </c>
      <c r="T46" s="5"/>
    </row>
    <row r="47" spans="1:21" x14ac:dyDescent="0.2">
      <c r="A47" t="s">
        <v>8</v>
      </c>
      <c r="B47">
        <v>1</v>
      </c>
      <c r="C47" t="s">
        <v>87</v>
      </c>
      <c r="D47" t="s">
        <v>82</v>
      </c>
      <c r="E47">
        <v>1</v>
      </c>
      <c r="F47">
        <v>1</v>
      </c>
      <c r="G47" s="1">
        <v>0.65902777777777777</v>
      </c>
      <c r="H47" s="1">
        <v>0.66041666666666665</v>
      </c>
      <c r="I47" s="1">
        <v>0.66111111111111109</v>
      </c>
      <c r="J47" s="1">
        <v>0.66319444444444442</v>
      </c>
      <c r="K47" s="1">
        <v>0.6645833333333333</v>
      </c>
      <c r="L47" s="1">
        <v>0.66597222222222219</v>
      </c>
      <c r="M47" s="1">
        <v>0.66736111111111107</v>
      </c>
      <c r="N47" s="1">
        <v>0.67013888888888884</v>
      </c>
      <c r="O47" s="1">
        <v>0.67152777777777783</v>
      </c>
      <c r="P47" s="1">
        <v>0.67499999999999993</v>
      </c>
      <c r="Q47" s="1">
        <v>0.67638888888888893</v>
      </c>
      <c r="R47" s="1">
        <v>0.67708333333333337</v>
      </c>
      <c r="S47" s="1">
        <v>0.6777777777777777</v>
      </c>
      <c r="T47" s="5"/>
    </row>
    <row r="48" spans="1:21" x14ac:dyDescent="0.2">
      <c r="A48" t="s">
        <v>8</v>
      </c>
      <c r="B48">
        <v>1</v>
      </c>
      <c r="C48" t="s">
        <v>87</v>
      </c>
      <c r="D48" t="s">
        <v>82</v>
      </c>
      <c r="E48">
        <v>1</v>
      </c>
      <c r="F48">
        <v>1</v>
      </c>
      <c r="G48" s="1">
        <v>0.66666666666666663</v>
      </c>
      <c r="H48" s="1">
        <v>0.66805555555555562</v>
      </c>
      <c r="I48" s="1">
        <v>0.66875000000000007</v>
      </c>
      <c r="J48" s="1">
        <v>0.67083333333333339</v>
      </c>
      <c r="K48" s="1">
        <v>0.67222222222222217</v>
      </c>
      <c r="L48" s="1">
        <v>0.67361111111111116</v>
      </c>
      <c r="M48" s="1">
        <v>0.67499999999999993</v>
      </c>
      <c r="N48" s="1">
        <v>0.6777777777777777</v>
      </c>
      <c r="O48" s="1">
        <v>0.6791666666666667</v>
      </c>
      <c r="P48" s="1">
        <v>0.68263888888888891</v>
      </c>
      <c r="Q48" s="1">
        <v>0.68402777777777779</v>
      </c>
      <c r="R48" s="1">
        <v>0.68472222222222223</v>
      </c>
      <c r="S48" s="1">
        <v>0.68541666666666667</v>
      </c>
      <c r="T48" s="5"/>
    </row>
    <row r="49" spans="1:21" x14ac:dyDescent="0.2">
      <c r="A49" t="s">
        <v>8</v>
      </c>
      <c r="B49">
        <v>1</v>
      </c>
      <c r="C49" t="s">
        <v>87</v>
      </c>
      <c r="D49" t="s">
        <v>82</v>
      </c>
      <c r="E49">
        <v>1</v>
      </c>
      <c r="F49">
        <v>1</v>
      </c>
      <c r="G49" s="1">
        <v>0.67499999999999993</v>
      </c>
      <c r="H49" s="1">
        <v>0.67638888888888893</v>
      </c>
      <c r="I49" s="1">
        <v>0.67708333333333337</v>
      </c>
      <c r="J49" s="1">
        <v>0.6791666666666667</v>
      </c>
      <c r="K49" s="1">
        <v>0.68055555555555547</v>
      </c>
      <c r="L49" s="1">
        <v>0.68194444444444446</v>
      </c>
      <c r="M49" s="1">
        <v>0.68333333333333324</v>
      </c>
      <c r="N49" s="1">
        <v>0.68611111111111101</v>
      </c>
      <c r="O49" s="1">
        <v>0.6875</v>
      </c>
      <c r="P49" s="1">
        <v>0.69097222222222221</v>
      </c>
      <c r="Q49" s="1">
        <v>0.69236111111111109</v>
      </c>
      <c r="R49" s="1">
        <v>0.69305555555555554</v>
      </c>
      <c r="S49" s="1">
        <v>0.69374999999999998</v>
      </c>
      <c r="T49" s="5"/>
    </row>
    <row r="50" spans="1:21" x14ac:dyDescent="0.2">
      <c r="A50" t="s">
        <v>8</v>
      </c>
      <c r="B50">
        <v>1</v>
      </c>
      <c r="C50" t="s">
        <v>87</v>
      </c>
      <c r="D50" t="s">
        <v>82</v>
      </c>
      <c r="E50">
        <v>1</v>
      </c>
      <c r="F50">
        <v>1</v>
      </c>
      <c r="G50" s="1">
        <v>0.68125000000000002</v>
      </c>
      <c r="H50" s="1">
        <v>0.68263888888888891</v>
      </c>
      <c r="I50" s="1">
        <v>0.68333333333333324</v>
      </c>
      <c r="J50" s="1">
        <v>0.68541666666666667</v>
      </c>
      <c r="K50" s="1">
        <v>0.68680555555555556</v>
      </c>
      <c r="L50" s="1">
        <v>0.68819444444444444</v>
      </c>
      <c r="M50" s="1">
        <v>0.68958333333333333</v>
      </c>
      <c r="N50" s="1">
        <v>0.69236111111111109</v>
      </c>
      <c r="O50" s="1">
        <v>0.69374999999999998</v>
      </c>
      <c r="P50" s="1">
        <v>0.6972222222222223</v>
      </c>
      <c r="Q50" s="1">
        <v>0.69861111111111107</v>
      </c>
      <c r="R50" s="1">
        <v>0.69930555555555562</v>
      </c>
      <c r="S50" s="1">
        <v>0.70000000000000007</v>
      </c>
      <c r="T50" s="5"/>
    </row>
    <row r="51" spans="1:21" x14ac:dyDescent="0.2">
      <c r="A51" t="s">
        <v>8</v>
      </c>
      <c r="B51">
        <v>1</v>
      </c>
      <c r="C51" t="s">
        <v>87</v>
      </c>
      <c r="D51" t="s">
        <v>82</v>
      </c>
      <c r="E51">
        <v>1</v>
      </c>
      <c r="F51">
        <v>1</v>
      </c>
      <c r="G51" s="1">
        <v>0.69166666666666676</v>
      </c>
      <c r="H51" s="1">
        <v>0.69305555555555554</v>
      </c>
      <c r="I51" s="1">
        <v>0.69374999999999998</v>
      </c>
      <c r="J51" s="1">
        <v>0.6958333333333333</v>
      </c>
      <c r="K51" s="1">
        <v>0.6972222222222223</v>
      </c>
      <c r="L51" s="1">
        <v>0.69861111111111107</v>
      </c>
      <c r="M51" s="1">
        <v>0.70000000000000007</v>
      </c>
      <c r="N51" s="1">
        <v>0.70277777777777783</v>
      </c>
      <c r="O51" s="1">
        <v>0.70416666666666661</v>
      </c>
      <c r="P51" s="1">
        <v>0.70763888888888893</v>
      </c>
      <c r="Q51" s="1">
        <v>0.7090277777777777</v>
      </c>
      <c r="R51" s="1">
        <v>0.70972222222222225</v>
      </c>
      <c r="S51" s="1">
        <v>0.7104166666666667</v>
      </c>
      <c r="T51" s="5"/>
    </row>
    <row r="52" spans="1:21" x14ac:dyDescent="0.2">
      <c r="A52" t="s">
        <v>8</v>
      </c>
      <c r="B52">
        <v>1</v>
      </c>
      <c r="C52" t="s">
        <v>87</v>
      </c>
      <c r="D52" t="s">
        <v>82</v>
      </c>
      <c r="E52">
        <v>1</v>
      </c>
      <c r="F52">
        <v>1</v>
      </c>
      <c r="G52" s="1">
        <v>0.69861111111111107</v>
      </c>
      <c r="H52" s="1">
        <v>0.70000000000000007</v>
      </c>
      <c r="I52" s="1">
        <v>0.7006944444444444</v>
      </c>
      <c r="J52" s="1">
        <v>0.70277777777777783</v>
      </c>
      <c r="K52" s="1">
        <v>0.70416666666666661</v>
      </c>
      <c r="L52" s="1">
        <v>0.7055555555555556</v>
      </c>
      <c r="M52" s="1">
        <v>0.70694444444444438</v>
      </c>
      <c r="N52" s="1">
        <v>0.70972222222222225</v>
      </c>
      <c r="O52" s="1">
        <v>0.71111111111111114</v>
      </c>
      <c r="P52" s="1">
        <v>0.71458333333333324</v>
      </c>
      <c r="Q52" s="1">
        <v>0.71597222222222223</v>
      </c>
      <c r="R52" s="1">
        <v>0.71666666666666667</v>
      </c>
      <c r="S52" s="1">
        <v>0.71736111111111101</v>
      </c>
      <c r="T52" s="5"/>
    </row>
    <row r="53" spans="1:21" x14ac:dyDescent="0.2">
      <c r="A53" t="s">
        <v>8</v>
      </c>
      <c r="B53">
        <v>1</v>
      </c>
      <c r="C53" t="s">
        <v>87</v>
      </c>
      <c r="D53" t="s">
        <v>82</v>
      </c>
      <c r="E53">
        <v>1</v>
      </c>
      <c r="F53">
        <v>1</v>
      </c>
      <c r="G53" s="1">
        <v>0.70763888888888893</v>
      </c>
      <c r="H53" s="1">
        <v>0.7090277777777777</v>
      </c>
      <c r="I53" s="1">
        <v>0.70972222222222225</v>
      </c>
      <c r="J53" s="1">
        <v>0.71180555555555547</v>
      </c>
      <c r="K53" s="1">
        <v>0.71319444444444446</v>
      </c>
      <c r="L53" s="1">
        <v>0.71458333333333324</v>
      </c>
      <c r="M53" s="1">
        <v>0.71597222222222223</v>
      </c>
      <c r="N53" s="1">
        <v>0.71875</v>
      </c>
      <c r="O53" s="1">
        <v>0.72013888888888899</v>
      </c>
      <c r="P53" s="1">
        <v>0.72361111111111109</v>
      </c>
      <c r="Q53" s="1">
        <v>0.72499999999999998</v>
      </c>
      <c r="R53" s="1">
        <v>0.72569444444444453</v>
      </c>
      <c r="S53" s="1">
        <v>0.72638888888888886</v>
      </c>
      <c r="T53" s="5"/>
    </row>
    <row r="54" spans="1:21" x14ac:dyDescent="0.2">
      <c r="A54" t="s">
        <v>8</v>
      </c>
      <c r="B54">
        <v>1</v>
      </c>
      <c r="C54" t="s">
        <v>87</v>
      </c>
      <c r="D54" t="s">
        <v>82</v>
      </c>
      <c r="E54">
        <v>1</v>
      </c>
      <c r="F54">
        <v>1</v>
      </c>
      <c r="G54" s="1">
        <v>0.71597222222222223</v>
      </c>
      <c r="H54" s="1">
        <v>0.71736111111111101</v>
      </c>
      <c r="I54" s="1">
        <v>0.71805555555555556</v>
      </c>
      <c r="J54" s="1">
        <v>0.72013888888888899</v>
      </c>
      <c r="K54" s="1">
        <v>0.72152777777777777</v>
      </c>
      <c r="L54" s="1">
        <v>0.72291666666666676</v>
      </c>
      <c r="M54" s="1">
        <v>0.72430555555555554</v>
      </c>
      <c r="N54" s="1">
        <v>0.7270833333333333</v>
      </c>
      <c r="O54" s="1">
        <v>0.7284722222222223</v>
      </c>
      <c r="P54" s="1">
        <v>0.7319444444444444</v>
      </c>
      <c r="Q54" s="1">
        <v>0.73333333333333339</v>
      </c>
      <c r="R54" s="1">
        <v>0.73402777777777783</v>
      </c>
      <c r="S54" s="1">
        <v>0.73472222222222217</v>
      </c>
      <c r="T54" s="5"/>
    </row>
    <row r="55" spans="1:21" x14ac:dyDescent="0.2">
      <c r="A55" t="s">
        <v>8</v>
      </c>
      <c r="B55">
        <v>1</v>
      </c>
      <c r="C55" t="s">
        <v>87</v>
      </c>
      <c r="D55" t="s">
        <v>82</v>
      </c>
      <c r="E55">
        <v>1</v>
      </c>
      <c r="F55">
        <v>1</v>
      </c>
      <c r="G55" s="1">
        <v>0.72430555555555554</v>
      </c>
      <c r="H55" s="1">
        <v>0.72569444444444453</v>
      </c>
      <c r="I55" s="1">
        <v>0.72638888888888886</v>
      </c>
      <c r="J55" s="1">
        <v>0.7284722222222223</v>
      </c>
      <c r="K55" s="1">
        <v>0.72986111111111107</v>
      </c>
      <c r="L55" s="1">
        <v>0.73125000000000007</v>
      </c>
      <c r="M55" s="1">
        <v>0.73263888888888884</v>
      </c>
      <c r="N55" s="1">
        <v>0.73541666666666661</v>
      </c>
      <c r="O55" s="1">
        <v>0.7368055555555556</v>
      </c>
      <c r="P55" s="1">
        <v>0.7402777777777777</v>
      </c>
      <c r="Q55" s="1">
        <v>0.7416666666666667</v>
      </c>
      <c r="R55" s="1">
        <v>0.74236111111111114</v>
      </c>
      <c r="S55" s="1">
        <v>0.74305555555555547</v>
      </c>
      <c r="T55" s="5"/>
    </row>
    <row r="56" spans="1:21" x14ac:dyDescent="0.2">
      <c r="A56" t="s">
        <v>8</v>
      </c>
      <c r="B56">
        <v>1</v>
      </c>
      <c r="C56" t="s">
        <v>87</v>
      </c>
      <c r="D56" t="s">
        <v>82</v>
      </c>
      <c r="E56">
        <v>1</v>
      </c>
      <c r="F56">
        <v>1</v>
      </c>
      <c r="G56" s="1">
        <v>0.73541666666666661</v>
      </c>
      <c r="H56" s="1">
        <v>0.7368055555555556</v>
      </c>
      <c r="I56" s="1">
        <v>0.73749999999999993</v>
      </c>
      <c r="J56" s="1">
        <v>0.73958333333333337</v>
      </c>
      <c r="K56" s="1">
        <v>0.74097222222222225</v>
      </c>
      <c r="L56" s="1">
        <v>0.74236111111111114</v>
      </c>
      <c r="M56" s="1">
        <v>0.74375000000000002</v>
      </c>
      <c r="N56" s="1">
        <v>0.74652777777777779</v>
      </c>
      <c r="O56" s="1">
        <v>0.74791666666666667</v>
      </c>
      <c r="P56" s="1">
        <v>0.75138888888888899</v>
      </c>
      <c r="Q56" s="1">
        <v>0.75277777777777777</v>
      </c>
      <c r="R56" s="1">
        <v>0.75347222222222221</v>
      </c>
      <c r="S56" s="1">
        <v>0.75416666666666676</v>
      </c>
      <c r="T56" s="5"/>
    </row>
    <row r="57" spans="1:21" x14ac:dyDescent="0.2">
      <c r="A57" t="s">
        <v>8</v>
      </c>
      <c r="B57">
        <v>1</v>
      </c>
      <c r="C57" t="s">
        <v>87</v>
      </c>
      <c r="D57" t="s">
        <v>82</v>
      </c>
      <c r="E57">
        <v>1</v>
      </c>
      <c r="F57">
        <v>1</v>
      </c>
      <c r="G57" s="1">
        <v>0.74305555555555547</v>
      </c>
      <c r="H57" s="1">
        <v>0.74444444444444446</v>
      </c>
      <c r="I57" s="1">
        <v>0.74513888888888891</v>
      </c>
      <c r="J57" s="1">
        <v>0.74722222222222223</v>
      </c>
      <c r="K57" s="1">
        <v>0.74861111111111101</v>
      </c>
      <c r="L57" s="1">
        <v>0.75</v>
      </c>
      <c r="M57" s="1">
        <v>0.75138888888888899</v>
      </c>
      <c r="N57" s="1">
        <v>0.75416666666666676</v>
      </c>
      <c r="O57" s="1">
        <v>0.75555555555555554</v>
      </c>
      <c r="P57" s="1">
        <v>0.75902777777777775</v>
      </c>
      <c r="Q57" s="1">
        <v>0.76041666666666663</v>
      </c>
      <c r="R57" s="1">
        <v>0.76111111111111107</v>
      </c>
      <c r="S57" s="1">
        <v>0.76180555555555562</v>
      </c>
      <c r="T57" s="5"/>
    </row>
    <row r="58" spans="1:21" x14ac:dyDescent="0.2">
      <c r="A58" t="s">
        <v>8</v>
      </c>
      <c r="B58">
        <v>1</v>
      </c>
      <c r="C58" t="s">
        <v>87</v>
      </c>
      <c r="D58" t="s">
        <v>82</v>
      </c>
      <c r="E58">
        <v>1</v>
      </c>
      <c r="F58">
        <v>1</v>
      </c>
      <c r="G58" s="1">
        <v>0.75</v>
      </c>
      <c r="H58" s="1">
        <v>0.75138888888888899</v>
      </c>
      <c r="I58" s="1">
        <v>0.75208333333333333</v>
      </c>
      <c r="J58" s="1">
        <v>0.75416666666666676</v>
      </c>
      <c r="K58" s="1">
        <v>0.75555555555555554</v>
      </c>
      <c r="L58" s="1">
        <v>0.75694444444444453</v>
      </c>
      <c r="M58" s="1">
        <v>0.7583333333333333</v>
      </c>
      <c r="N58" s="1">
        <v>0.76111111111111107</v>
      </c>
      <c r="O58" s="1">
        <v>0.76250000000000007</v>
      </c>
      <c r="P58" s="1">
        <v>0.76597222222222217</v>
      </c>
      <c r="Q58" s="1">
        <v>0.76736111111111116</v>
      </c>
      <c r="R58" s="1">
        <v>0.7680555555555556</v>
      </c>
      <c r="S58" s="1">
        <v>0.76874999999999993</v>
      </c>
      <c r="T58" s="5"/>
    </row>
    <row r="59" spans="1:21" x14ac:dyDescent="0.2">
      <c r="A59" t="s">
        <v>8</v>
      </c>
      <c r="B59">
        <v>1</v>
      </c>
      <c r="C59" t="s">
        <v>87</v>
      </c>
      <c r="D59" t="s">
        <v>82</v>
      </c>
      <c r="E59">
        <v>1</v>
      </c>
      <c r="F59">
        <v>1</v>
      </c>
      <c r="G59" s="1">
        <v>0.75694444444444453</v>
      </c>
      <c r="H59" s="1">
        <v>0.7583333333333333</v>
      </c>
      <c r="I59" s="1">
        <v>0.75902777777777775</v>
      </c>
      <c r="J59" s="1">
        <v>0.76111111111111107</v>
      </c>
      <c r="K59" s="1">
        <v>0.76250000000000007</v>
      </c>
      <c r="L59" s="1">
        <v>0.76388888888888884</v>
      </c>
      <c r="M59" s="1">
        <v>0.76527777777777783</v>
      </c>
      <c r="N59" s="1">
        <v>0.7680555555555556</v>
      </c>
      <c r="O59" s="1">
        <v>0.76944444444444438</v>
      </c>
      <c r="P59" s="1">
        <v>0.7729166666666667</v>
      </c>
      <c r="Q59" s="1">
        <v>0.77430555555555547</v>
      </c>
      <c r="R59" s="1">
        <v>0.77500000000000002</v>
      </c>
      <c r="S59" s="1">
        <v>0.77569444444444446</v>
      </c>
      <c r="T59" s="5"/>
    </row>
    <row r="60" spans="1:21" x14ac:dyDescent="0.2">
      <c r="A60" t="s">
        <v>8</v>
      </c>
      <c r="B60">
        <v>1</v>
      </c>
      <c r="C60" t="s">
        <v>87</v>
      </c>
      <c r="D60" t="s">
        <v>82</v>
      </c>
      <c r="E60">
        <v>1</v>
      </c>
      <c r="F60">
        <v>1</v>
      </c>
      <c r="G60" s="1">
        <v>0.76388888888888884</v>
      </c>
      <c r="H60" s="1">
        <v>0.76527777777777783</v>
      </c>
      <c r="I60" s="1">
        <v>0.76597222222222217</v>
      </c>
      <c r="J60" s="1">
        <v>0.7680555555555556</v>
      </c>
      <c r="K60" s="1">
        <v>0.76944444444444438</v>
      </c>
      <c r="L60" s="1">
        <v>0.77083333333333337</v>
      </c>
      <c r="M60" s="1">
        <v>0.77222222222222225</v>
      </c>
      <c r="N60" s="1">
        <v>0.77500000000000002</v>
      </c>
      <c r="O60" s="1">
        <v>0.77638888888888891</v>
      </c>
      <c r="P60" s="1">
        <v>0.77986111111111101</v>
      </c>
      <c r="Q60" s="1">
        <v>0.78125</v>
      </c>
      <c r="R60" s="1">
        <v>0.78194444444444444</v>
      </c>
      <c r="S60" s="1">
        <v>0.78263888888888899</v>
      </c>
      <c r="T60" s="5"/>
    </row>
    <row r="61" spans="1:21" x14ac:dyDescent="0.2">
      <c r="A61" t="s">
        <v>8</v>
      </c>
      <c r="B61">
        <v>1</v>
      </c>
      <c r="C61" t="s">
        <v>87</v>
      </c>
      <c r="D61" t="s">
        <v>82</v>
      </c>
      <c r="E61">
        <v>1</v>
      </c>
      <c r="F61">
        <v>1</v>
      </c>
      <c r="G61" s="1">
        <v>0.77083333333333337</v>
      </c>
      <c r="H61" s="1">
        <v>0.77222222222222225</v>
      </c>
      <c r="I61" s="1">
        <v>0.7729166666666667</v>
      </c>
      <c r="J61" s="1">
        <v>0.77500000000000002</v>
      </c>
      <c r="K61" s="1">
        <v>0.77638888888888891</v>
      </c>
      <c r="L61" s="1">
        <v>0.77777777777777779</v>
      </c>
      <c r="M61" s="1">
        <v>0.77916666666666667</v>
      </c>
      <c r="N61" s="1">
        <v>0.78194444444444444</v>
      </c>
      <c r="O61" s="1">
        <v>0.78333333333333333</v>
      </c>
      <c r="P61" s="1">
        <v>0.78680555555555554</v>
      </c>
      <c r="Q61" s="1">
        <v>0.78819444444444453</v>
      </c>
      <c r="R61" s="1">
        <v>0.78888888888888886</v>
      </c>
      <c r="S61" s="1">
        <v>0.7895833333333333</v>
      </c>
      <c r="T61" s="5">
        <f>TIME(0,15,0)</f>
        <v>1.0416666666666666E-2</v>
      </c>
      <c r="U61" s="3">
        <v>0.89583333333333337</v>
      </c>
    </row>
    <row r="62" spans="1:21" x14ac:dyDescent="0.2">
      <c r="A62" t="s">
        <v>8</v>
      </c>
      <c r="B62">
        <v>1</v>
      </c>
      <c r="C62" t="s">
        <v>87</v>
      </c>
      <c r="D62" t="s">
        <v>82</v>
      </c>
      <c r="E62">
        <v>1</v>
      </c>
      <c r="F62">
        <v>1</v>
      </c>
      <c r="G62" s="1">
        <v>0.89583333333333337</v>
      </c>
      <c r="H62" s="1">
        <v>0.89722222222222225</v>
      </c>
      <c r="I62" s="1">
        <v>0.8979166666666667</v>
      </c>
      <c r="J62" s="1">
        <v>0.9</v>
      </c>
      <c r="K62" s="1">
        <v>0.90138888888888891</v>
      </c>
      <c r="L62" s="1">
        <v>0.90277777777777779</v>
      </c>
      <c r="M62" s="1">
        <v>0.90416666666666667</v>
      </c>
      <c r="N62" s="1">
        <v>0.90694444444444444</v>
      </c>
      <c r="O62" s="1">
        <v>0.90833333333333333</v>
      </c>
      <c r="P62" s="1">
        <v>0.91180555555555554</v>
      </c>
      <c r="Q62" s="1">
        <v>0.91319444444444453</v>
      </c>
      <c r="R62" s="1">
        <v>0.91388888888888886</v>
      </c>
      <c r="S62" s="1">
        <v>0.9145833333333333</v>
      </c>
      <c r="T62" s="5">
        <f>TIME(0,20,0)</f>
        <v>1.3888888888888888E-2</v>
      </c>
      <c r="U62" s="3">
        <v>0.97916666666666663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B2813-6B85-934C-BE8C-6DAAE9B66AE1}">
  <dimension ref="A1:U65"/>
  <sheetViews>
    <sheetView workbookViewId="0">
      <selection activeCell="V18" sqref="V18"/>
    </sheetView>
  </sheetViews>
  <sheetFormatPr baseColWidth="10" defaultRowHeight="16" x14ac:dyDescent="0.2"/>
  <cols>
    <col min="1" max="1" width="8" customWidth="1"/>
    <col min="2" max="2" width="5" customWidth="1"/>
    <col min="3" max="3" width="8.5" bestFit="1" customWidth="1"/>
    <col min="4" max="4" width="15.83203125" bestFit="1" customWidth="1"/>
    <col min="5" max="6" width="4" customWidth="1"/>
    <col min="7" max="19" width="8.1640625" bestFit="1" customWidth="1"/>
    <col min="20" max="20" width="10" bestFit="1" customWidth="1"/>
    <col min="21" max="21" width="5.6640625" bestFit="1" customWidth="1"/>
  </cols>
  <sheetData>
    <row r="1" spans="1:21" ht="92" x14ac:dyDescent="0.2">
      <c r="A1" s="6" t="str">
        <f>_xlfn.IFNA(INDEX(Stops!$2:$1048576,MATCH(A2,Stops!$A$2:$A$1048576,0),MATCH("stop_name",Stops!$1:$1,0)),IF(ISBLANK(A2),"",A2))</f>
        <v>route_id</v>
      </c>
      <c r="B1" s="6" t="str">
        <f>_xlfn.IFNA(INDEX(Stops!$2:$1048576,MATCH(B2,Stops!$A$2:$A$1048576,0),MATCH("stop_name",Stops!$1:$1,0)),IF(ISBLANK(B2),"",B2))</f>
        <v>direction_id</v>
      </c>
      <c r="C1" s="6" t="str">
        <f>_xlfn.IFNA(INDEX(Stops!$2:$1048576,MATCH(C2,Stops!$A$2:$A$1048576,0),MATCH("stop_name",Stops!$1:$1,0)),IF(ISBLANK(C2),"",C2))</f>
        <v>shape_id</v>
      </c>
      <c r="D1" s="6" t="str">
        <f>_xlfn.IFNA(INDEX(Stops!$2:$1048576,MATCH(D2,Stops!$A$2:$A$1048576,0),MATCH("stop_name",Stops!$1:$1,0)),IF(ISBLANK(D2),"",D2))</f>
        <v>headsign</v>
      </c>
      <c r="E1" s="6" t="str">
        <f>_xlfn.IFNA(INDEX(Stops!$2:$1048576,MATCH(E2,Stops!$A$2:$A$1048576,0),MATCH("stop_name",Stops!$1:$1,0)),IF(ISBLANK(E2),"",E2))</f>
        <v>wheelchair_accessible</v>
      </c>
      <c r="F1" s="6" t="str">
        <f>_xlfn.IFNA(INDEX(Stops!$2:$1048576,MATCH(F2,Stops!$A$2:$A$1048576,0),MATCH("stop_name",Stops!$1:$1,0)),IF(ISBLANK(F2),"",F2))</f>
        <v>bikes_allowed</v>
      </c>
      <c r="G1" s="6" t="str">
        <f>_xlfn.IFNA(INDEX(Stops!$2:$1048576,MATCH(G2,Stops!$A$2:$A$1048576,0),MATCH("stop_name",Stops!$1:$1,0)),IF(ISBLANK(G2),"",G2))</f>
        <v>15-16th and Locust</v>
      </c>
      <c r="H1" s="6" t="str">
        <f>_xlfn.IFNA(INDEX(Stops!$2:$1048576,MATCH(H2,Stops!$A$2:$A$1048576,0),MATCH("stop_name",Stops!$1:$1,0)),IF(ISBLANK(H2),"",H2))</f>
        <v>12-13th and Locust</v>
      </c>
      <c r="I1" s="6" t="str">
        <f>_xlfn.IFNA(INDEX(Stops!$2:$1048576,MATCH(I2,Stops!$A$2:$A$1048576,0),MATCH("stop_name",Stops!$1:$1,0)),IF(ISBLANK(I2),"",I2))</f>
        <v>9-10th and Locust</v>
      </c>
      <c r="J1" s="6" t="str">
        <f>_xlfn.IFNA(INDEX(Stops!$2:$1048576,MATCH(J2,Stops!$A$2:$A$1048576,0),MATCH("stop_name",Stops!$1:$1,0)),IF(ISBLANK(J2),"",J2))</f>
        <v>8th and Market</v>
      </c>
      <c r="K1" s="6" t="str">
        <f>_xlfn.IFNA(INDEX(Stops!$2:$1048576,MATCH(K2,Stops!$A$2:$A$1048576,0),MATCH("stop_name",Stops!$1:$1,0)),IF(ISBLANK(K2),"",K2))</f>
        <v>City Hall</v>
      </c>
      <c r="L1" s="6" t="str">
        <f>_xlfn.IFNA(INDEX(Stops!$2:$1048576,MATCH(L2,Stops!$A$2:$A$1048576,0),MATCH("stop_name",Stops!$1:$1,0)),IF(ISBLANK(L2),"",L2))</f>
        <v>Broadway</v>
      </c>
      <c r="M1" s="6" t="str">
        <f>_xlfn.IFNA(INDEX(Stops!$2:$1048576,MATCH(M2,Stops!$A$2:$A$1048576,0),MATCH("stop_name",Stops!$1:$1,0)),IF(ISBLANK(M2),"",M2))</f>
        <v>Ferry Avenue</v>
      </c>
      <c r="N1" s="6" t="str">
        <f>_xlfn.IFNA(INDEX(Stops!$2:$1048576,MATCH(N2,Stops!$A$2:$A$1048576,0),MATCH("stop_name",Stops!$1:$1,0)),IF(ISBLANK(N2),"",N2))</f>
        <v>Collingswood</v>
      </c>
      <c r="O1" s="6" t="str">
        <f>_xlfn.IFNA(INDEX(Stops!$2:$1048576,MATCH(O2,Stops!$A$2:$A$1048576,0),MATCH("stop_name",Stops!$1:$1,0)),IF(ISBLANK(O2),"",O2))</f>
        <v>Westmont</v>
      </c>
      <c r="P1" s="6" t="str">
        <f>_xlfn.IFNA(INDEX(Stops!$2:$1048576,MATCH(P2,Stops!$A$2:$A$1048576,0),MATCH("stop_name",Stops!$1:$1,0)),IF(ISBLANK(P2),"",P2))</f>
        <v>Haddonfield</v>
      </c>
      <c r="Q1" s="6" t="str">
        <f>_xlfn.IFNA(INDEX(Stops!$2:$1048576,MATCH(Q2,Stops!$A$2:$A$1048576,0),MATCH("stop_name",Stops!$1:$1,0)),IF(ISBLANK(Q2),"",Q2))</f>
        <v>Woodcrest</v>
      </c>
      <c r="R1" s="6" t="str">
        <f>_xlfn.IFNA(INDEX(Stops!$2:$1048576,MATCH(R2,Stops!$A$2:$A$1048576,0),MATCH("stop_name",Stops!$1:$1,0)),IF(ISBLANK(R2),"",R2))</f>
        <v>Ashland</v>
      </c>
      <c r="S1" s="6" t="str">
        <f>_xlfn.IFNA(INDEX(Stops!$2:$1048576,MATCH(S2,Stops!$A$2:$A$1048576,0),MATCH("stop_name",Stops!$1:$1,0)),IF(ISBLANK(S2),"",S2))</f>
        <v>Lindenwold</v>
      </c>
      <c r="T1" s="7" t="str">
        <f>_xlfn.IFNA(INDEX(Stops!$2:$1048576,MATCH(T2,Stops!$A$2:$A$1048576,0),MATCH("stop_name",Stops!$1:$1,0)),IF(ISBLANK(T2),"",T2))</f>
        <v>Then Every</v>
      </c>
      <c r="U1" s="6" t="str">
        <f>_xlfn.IFNA(INDEX(Stops!$2:$1048576,MATCH(U2,Stops!$A$2:$A$1048576,0),MATCH("stop_name",Stops!$1:$1,0)),IF(ISBLANK(U2),"",U2))</f>
        <v>Until</v>
      </c>
    </row>
    <row r="2" spans="1:21" x14ac:dyDescent="0.2">
      <c r="A2" s="2" t="s">
        <v>14</v>
      </c>
      <c r="B2" s="2" t="s">
        <v>77</v>
      </c>
      <c r="C2" s="2" t="s">
        <v>24</v>
      </c>
      <c r="D2" s="2" t="s">
        <v>81</v>
      </c>
      <c r="E2" s="2" t="s">
        <v>78</v>
      </c>
      <c r="F2" s="2" t="s">
        <v>79</v>
      </c>
      <c r="G2" s="2" t="s">
        <v>140</v>
      </c>
      <c r="H2" s="2" t="s">
        <v>139</v>
      </c>
      <c r="I2" s="2" t="s">
        <v>131</v>
      </c>
      <c r="J2" s="2" t="s">
        <v>130</v>
      </c>
      <c r="K2" s="2" t="s">
        <v>128</v>
      </c>
      <c r="L2" s="2" t="s">
        <v>132</v>
      </c>
      <c r="M2" s="2" t="s">
        <v>133</v>
      </c>
      <c r="N2" s="2" t="s">
        <v>134</v>
      </c>
      <c r="O2" s="2" t="s">
        <v>135</v>
      </c>
      <c r="P2" s="2" t="s">
        <v>137</v>
      </c>
      <c r="Q2" s="2" t="s">
        <v>136</v>
      </c>
      <c r="R2" s="2" t="s">
        <v>129</v>
      </c>
      <c r="S2" s="2" t="s">
        <v>138</v>
      </c>
      <c r="T2" s="4" t="s">
        <v>83</v>
      </c>
      <c r="U2" s="2" t="s">
        <v>84</v>
      </c>
    </row>
    <row r="3" spans="1:21" x14ac:dyDescent="0.2">
      <c r="A3" t="s">
        <v>8</v>
      </c>
      <c r="B3">
        <v>0</v>
      </c>
      <c r="C3" t="s">
        <v>85</v>
      </c>
      <c r="D3" t="s">
        <v>88</v>
      </c>
      <c r="E3">
        <v>1</v>
      </c>
      <c r="F3">
        <v>1</v>
      </c>
      <c r="G3" s="1">
        <v>3.472222222222222E-3</v>
      </c>
      <c r="H3" s="1">
        <v>4.1666666666666666E-3</v>
      </c>
      <c r="I3" s="1">
        <v>4.8611111111111112E-3</v>
      </c>
      <c r="J3" s="1">
        <v>6.2499999999999995E-3</v>
      </c>
      <c r="K3" s="1">
        <v>9.7222222222222224E-3</v>
      </c>
      <c r="L3" s="1">
        <v>1.0416666666666666E-2</v>
      </c>
      <c r="M3" s="1">
        <v>1.2499999999999999E-2</v>
      </c>
      <c r="N3" s="1">
        <v>1.3888888888888888E-2</v>
      </c>
      <c r="O3" s="1">
        <v>1.5277777777777777E-2</v>
      </c>
      <c r="P3" s="1">
        <v>1.6666666666666666E-2</v>
      </c>
      <c r="Q3" s="1">
        <v>1.8749999999999999E-2</v>
      </c>
      <c r="R3" s="1">
        <v>2.013888888888889E-2</v>
      </c>
      <c r="S3" s="1">
        <v>2.361111111111111E-2</v>
      </c>
      <c r="T3" s="5"/>
      <c r="U3" s="3"/>
    </row>
    <row r="4" spans="1:21" x14ac:dyDescent="0.2">
      <c r="A4" t="s">
        <v>8</v>
      </c>
      <c r="B4">
        <v>0</v>
      </c>
      <c r="C4" t="s">
        <v>85</v>
      </c>
      <c r="D4" t="s">
        <v>88</v>
      </c>
      <c r="E4">
        <v>1</v>
      </c>
      <c r="F4">
        <v>1</v>
      </c>
      <c r="G4" s="1">
        <v>3.2638888888888891E-2</v>
      </c>
      <c r="H4" s="1">
        <v>3.3333333333333333E-2</v>
      </c>
      <c r="I4" s="1">
        <v>9.0277777777777787E-3</v>
      </c>
      <c r="J4" s="1">
        <v>3.5416666666666666E-2</v>
      </c>
      <c r="K4" s="1">
        <v>3.888888888888889E-2</v>
      </c>
      <c r="L4" s="1">
        <v>3.9583333333333331E-2</v>
      </c>
      <c r="M4" s="1">
        <v>4.1666666666666671E-2</v>
      </c>
      <c r="N4" s="1">
        <v>4.3055555555555555E-2</v>
      </c>
      <c r="O4" s="1">
        <v>4.4444444444444446E-2</v>
      </c>
      <c r="P4" s="1">
        <v>4.5833333333333337E-2</v>
      </c>
      <c r="Q4" s="1">
        <v>4.791666666666667E-2</v>
      </c>
      <c r="R4" s="1">
        <v>4.9305555555555561E-2</v>
      </c>
      <c r="S4" s="1">
        <v>5.1388888888888887E-2</v>
      </c>
      <c r="T4" s="5"/>
      <c r="U4" s="3"/>
    </row>
    <row r="5" spans="1:21" x14ac:dyDescent="0.2">
      <c r="A5" t="s">
        <v>8</v>
      </c>
      <c r="B5">
        <v>0</v>
      </c>
      <c r="C5" t="s">
        <v>85</v>
      </c>
      <c r="D5" t="s">
        <v>88</v>
      </c>
      <c r="E5">
        <v>1</v>
      </c>
      <c r="F5">
        <v>1</v>
      </c>
      <c r="G5" s="1">
        <v>6.5277777777777768E-2</v>
      </c>
      <c r="H5" s="1">
        <v>6.5972222222222224E-2</v>
      </c>
      <c r="I5" s="1">
        <v>4.1666666666666664E-2</v>
      </c>
      <c r="J5" s="1">
        <v>6.805555555555555E-2</v>
      </c>
      <c r="K5" s="1">
        <v>7.1527777777777773E-2</v>
      </c>
      <c r="L5" s="1">
        <v>7.2222222222222215E-2</v>
      </c>
      <c r="M5" s="1">
        <v>7.4305555555555555E-2</v>
      </c>
      <c r="N5" s="1">
        <v>7.5694444444444439E-2</v>
      </c>
      <c r="O5" s="1">
        <v>7.7083333333333337E-2</v>
      </c>
      <c r="P5" s="1">
        <v>7.8472222222222221E-2</v>
      </c>
      <c r="Q5" s="1">
        <v>8.0555555555555547E-2</v>
      </c>
      <c r="R5" s="1">
        <v>8.1944444444444445E-2</v>
      </c>
      <c r="S5" s="1">
        <v>8.4027777777777771E-2</v>
      </c>
      <c r="T5" s="5">
        <f>TIME(0,60,0)</f>
        <v>4.1666666666666664E-2</v>
      </c>
      <c r="U5" s="3">
        <v>0.14861111111111111</v>
      </c>
    </row>
    <row r="6" spans="1:21" x14ac:dyDescent="0.2">
      <c r="A6" t="s">
        <v>8</v>
      </c>
      <c r="B6">
        <v>0</v>
      </c>
      <c r="C6" t="s">
        <v>85</v>
      </c>
      <c r="D6" t="s">
        <v>88</v>
      </c>
      <c r="E6">
        <v>1</v>
      </c>
      <c r="F6">
        <v>1</v>
      </c>
      <c r="G6" s="1">
        <v>0.19027777777777777</v>
      </c>
      <c r="H6" s="1">
        <v>0.19097222222222221</v>
      </c>
      <c r="I6" s="1">
        <v>0.19166666666666665</v>
      </c>
      <c r="J6" s="1">
        <v>0.19305555555555554</v>
      </c>
      <c r="K6" s="1">
        <v>0.19652777777777777</v>
      </c>
      <c r="L6" s="1">
        <v>0.19722222222222222</v>
      </c>
      <c r="M6" s="1">
        <v>0.19930555555555554</v>
      </c>
      <c r="N6" s="1">
        <v>0.20069444444444443</v>
      </c>
      <c r="O6" s="1">
        <v>0.20208333333333331</v>
      </c>
      <c r="P6" s="1">
        <v>0.20347222222222219</v>
      </c>
      <c r="Q6" s="1">
        <v>0.20555555555555557</v>
      </c>
      <c r="R6" s="1">
        <v>0.20694444444444446</v>
      </c>
      <c r="S6" s="1">
        <v>0.20902777777777778</v>
      </c>
      <c r="T6" s="5"/>
    </row>
    <row r="7" spans="1:21" x14ac:dyDescent="0.2">
      <c r="A7" t="s">
        <v>8</v>
      </c>
      <c r="B7">
        <v>0</v>
      </c>
      <c r="C7" t="s">
        <v>85</v>
      </c>
      <c r="D7" t="s">
        <v>88</v>
      </c>
      <c r="E7">
        <v>1</v>
      </c>
      <c r="F7">
        <v>1</v>
      </c>
      <c r="G7" s="1">
        <v>0.21180555555555555</v>
      </c>
      <c r="H7" s="1">
        <v>0.21249999999999999</v>
      </c>
      <c r="I7" s="1">
        <v>0.21319444444444444</v>
      </c>
      <c r="J7" s="1">
        <v>0.21458333333333335</v>
      </c>
      <c r="K7" s="1">
        <v>0.21805555555555556</v>
      </c>
      <c r="L7" s="1">
        <v>0.21875</v>
      </c>
      <c r="M7" s="1">
        <v>0.22083333333333333</v>
      </c>
      <c r="N7" s="1">
        <v>0.22222222222222221</v>
      </c>
      <c r="O7" s="1">
        <v>0.22361111111111109</v>
      </c>
      <c r="P7" s="1">
        <v>0.22500000000000001</v>
      </c>
      <c r="Q7" s="1">
        <v>0.22708333333333333</v>
      </c>
      <c r="R7" s="1">
        <v>0.22847222222222222</v>
      </c>
      <c r="S7" s="1">
        <v>0.23055555555555554</v>
      </c>
      <c r="T7" s="5"/>
      <c r="U7" s="3"/>
    </row>
    <row r="8" spans="1:21" x14ac:dyDescent="0.2">
      <c r="A8" t="s">
        <v>8</v>
      </c>
      <c r="B8">
        <v>0</v>
      </c>
      <c r="C8" t="s">
        <v>85</v>
      </c>
      <c r="D8" t="s">
        <v>88</v>
      </c>
      <c r="E8">
        <v>1</v>
      </c>
      <c r="F8">
        <v>1</v>
      </c>
      <c r="G8" s="1">
        <v>0.23263888888888887</v>
      </c>
      <c r="H8" s="1">
        <v>0.23333333333333331</v>
      </c>
      <c r="I8" s="1">
        <v>0.23402777777777781</v>
      </c>
      <c r="J8" s="1">
        <v>0.23541666666666669</v>
      </c>
      <c r="K8" s="1">
        <v>0.2388888888888889</v>
      </c>
      <c r="L8" s="1">
        <v>0.23958333333333334</v>
      </c>
      <c r="M8" s="1">
        <v>0.24166666666666667</v>
      </c>
      <c r="N8" s="1">
        <v>0.24305555555555555</v>
      </c>
      <c r="O8" s="1">
        <v>0.24444444444444446</v>
      </c>
      <c r="P8" s="1">
        <v>0.24583333333333335</v>
      </c>
      <c r="Q8" s="1">
        <v>0.24791666666666667</v>
      </c>
      <c r="R8" s="1">
        <v>0.24930555555555556</v>
      </c>
      <c r="S8" s="1">
        <v>0.25138888888888888</v>
      </c>
      <c r="T8" s="5">
        <f>TIME(0,15,0)</f>
        <v>1.0416666666666666E-2</v>
      </c>
      <c r="U8" s="3">
        <v>0.27430555555555552</v>
      </c>
    </row>
    <row r="9" spans="1:21" x14ac:dyDescent="0.2">
      <c r="A9" t="s">
        <v>8</v>
      </c>
      <c r="B9">
        <v>0</v>
      </c>
      <c r="C9" t="s">
        <v>85</v>
      </c>
      <c r="D9" t="s">
        <v>88</v>
      </c>
      <c r="E9">
        <v>1</v>
      </c>
      <c r="F9">
        <v>1</v>
      </c>
      <c r="G9" s="1">
        <v>0.28125</v>
      </c>
      <c r="H9" s="1">
        <v>0.28194444444444444</v>
      </c>
      <c r="I9" s="1">
        <v>0.28263888888888888</v>
      </c>
      <c r="J9" s="1">
        <v>0.28402777777777777</v>
      </c>
      <c r="K9" s="1">
        <v>0.28750000000000003</v>
      </c>
      <c r="L9" s="1">
        <v>0.28819444444444448</v>
      </c>
      <c r="M9" s="1">
        <v>0.2902777777777778</v>
      </c>
      <c r="N9" s="1">
        <v>0.29166666666666669</v>
      </c>
      <c r="O9" s="1">
        <v>0.29305555555555557</v>
      </c>
      <c r="P9" s="1">
        <v>0.29444444444444445</v>
      </c>
      <c r="Q9" s="1">
        <v>0.29652777777777778</v>
      </c>
      <c r="R9" s="1">
        <v>0.29791666666666666</v>
      </c>
      <c r="S9" s="1">
        <v>0.3</v>
      </c>
      <c r="T9" s="5"/>
    </row>
    <row r="10" spans="1:21" x14ac:dyDescent="0.2">
      <c r="A10" t="s">
        <v>8</v>
      </c>
      <c r="B10">
        <v>0</v>
      </c>
      <c r="C10" t="s">
        <v>85</v>
      </c>
      <c r="D10" t="s">
        <v>88</v>
      </c>
      <c r="E10">
        <v>1</v>
      </c>
      <c r="F10">
        <v>1</v>
      </c>
      <c r="G10" s="1">
        <v>0.28819444444444448</v>
      </c>
      <c r="H10" s="1">
        <v>0.28888888888888892</v>
      </c>
      <c r="I10" s="1">
        <v>0.28958333333333336</v>
      </c>
      <c r="J10" s="1">
        <v>0.29097222222222224</v>
      </c>
      <c r="K10" s="1">
        <v>0.29444444444444445</v>
      </c>
      <c r="L10" s="1">
        <v>0.2951388888888889</v>
      </c>
      <c r="M10" s="1">
        <v>0.29722222222222222</v>
      </c>
      <c r="N10" s="1">
        <v>0.2986111111111111</v>
      </c>
      <c r="O10" s="1">
        <v>0.3</v>
      </c>
      <c r="P10" s="1">
        <v>0.30138888888888887</v>
      </c>
      <c r="Q10" s="1">
        <v>0.3034722222222222</v>
      </c>
      <c r="R10" s="1">
        <v>0.30486111111111108</v>
      </c>
      <c r="S10" s="1">
        <v>0.30694444444444441</v>
      </c>
      <c r="T10" s="5"/>
    </row>
    <row r="11" spans="1:21" x14ac:dyDescent="0.2">
      <c r="A11" t="s">
        <v>8</v>
      </c>
      <c r="B11">
        <v>0</v>
      </c>
      <c r="C11" t="s">
        <v>85</v>
      </c>
      <c r="D11" t="s">
        <v>88</v>
      </c>
      <c r="E11">
        <v>1</v>
      </c>
      <c r="F11">
        <v>1</v>
      </c>
      <c r="G11" s="1">
        <v>0.29305555555555557</v>
      </c>
      <c r="H11" s="1">
        <v>0.29375000000000001</v>
      </c>
      <c r="I11" s="1">
        <v>0.29444444444444445</v>
      </c>
      <c r="J11" s="1">
        <v>0.29583333333333334</v>
      </c>
      <c r="K11" s="1">
        <v>0.29930555555555555</v>
      </c>
      <c r="L11" s="1">
        <v>0.3</v>
      </c>
      <c r="M11" s="1">
        <v>0.30208333333333331</v>
      </c>
      <c r="N11" s="1">
        <v>0.3034722222222222</v>
      </c>
      <c r="O11" s="1">
        <v>0.30486111111111108</v>
      </c>
      <c r="P11" s="1">
        <v>0.30624999999999997</v>
      </c>
      <c r="Q11" s="1">
        <v>0.30833333333333335</v>
      </c>
      <c r="R11" s="1">
        <v>0.30972222222222223</v>
      </c>
      <c r="S11" s="1">
        <v>0.31180555555555556</v>
      </c>
      <c r="T11" s="5"/>
    </row>
    <row r="12" spans="1:21" x14ac:dyDescent="0.2">
      <c r="A12" t="s">
        <v>8</v>
      </c>
      <c r="B12">
        <v>0</v>
      </c>
      <c r="C12" t="s">
        <v>85</v>
      </c>
      <c r="D12" t="s">
        <v>88</v>
      </c>
      <c r="E12">
        <v>1</v>
      </c>
      <c r="F12">
        <v>1</v>
      </c>
      <c r="G12" s="1">
        <v>0.3</v>
      </c>
      <c r="H12" s="1">
        <v>0.30069444444444443</v>
      </c>
      <c r="I12" s="1">
        <v>0.30138888888888887</v>
      </c>
      <c r="J12" s="1">
        <v>0.30277777777777776</v>
      </c>
      <c r="K12" s="1">
        <v>0.30624999999999997</v>
      </c>
      <c r="L12" s="1">
        <v>0.30694444444444441</v>
      </c>
      <c r="M12" s="1">
        <v>0.30902777777777779</v>
      </c>
      <c r="N12" s="1">
        <v>0.31041666666666667</v>
      </c>
      <c r="O12" s="1">
        <v>0.31180555555555556</v>
      </c>
      <c r="P12" s="1">
        <v>0.31319444444444444</v>
      </c>
      <c r="Q12" s="1">
        <v>0.31527777777777777</v>
      </c>
      <c r="R12" s="1">
        <v>0.31666666666666665</v>
      </c>
      <c r="S12" s="1">
        <v>0.31875000000000003</v>
      </c>
      <c r="T12" s="5"/>
    </row>
    <row r="13" spans="1:21" x14ac:dyDescent="0.2">
      <c r="A13" t="s">
        <v>8</v>
      </c>
      <c r="B13">
        <v>0</v>
      </c>
      <c r="C13" t="s">
        <v>85</v>
      </c>
      <c r="D13" t="s">
        <v>88</v>
      </c>
      <c r="E13">
        <v>1</v>
      </c>
      <c r="F13">
        <v>1</v>
      </c>
      <c r="G13" s="1">
        <v>0.30694444444444441</v>
      </c>
      <c r="H13" s="1">
        <v>0.30763888888888891</v>
      </c>
      <c r="I13" s="1">
        <v>0.30833333333333335</v>
      </c>
      <c r="J13" s="1">
        <v>0.30972222222222223</v>
      </c>
      <c r="K13" s="1">
        <v>0.31319444444444444</v>
      </c>
      <c r="L13" s="1">
        <v>0.31388888888888888</v>
      </c>
      <c r="M13" s="1">
        <v>0.31597222222222221</v>
      </c>
      <c r="N13" s="1">
        <v>0.31736111111111115</v>
      </c>
      <c r="O13" s="1">
        <v>0.31875000000000003</v>
      </c>
      <c r="P13" s="1">
        <v>0.32013888888888892</v>
      </c>
      <c r="Q13" s="1">
        <v>0.32222222222222224</v>
      </c>
      <c r="R13" s="1">
        <v>0.32361111111111113</v>
      </c>
      <c r="S13" s="1">
        <v>0.32569444444444445</v>
      </c>
      <c r="T13" s="5"/>
    </row>
    <row r="14" spans="1:21" x14ac:dyDescent="0.2">
      <c r="A14" t="s">
        <v>8</v>
      </c>
      <c r="B14">
        <v>0</v>
      </c>
      <c r="C14" t="s">
        <v>85</v>
      </c>
      <c r="D14" t="s">
        <v>88</v>
      </c>
      <c r="E14">
        <v>1</v>
      </c>
      <c r="F14">
        <v>1</v>
      </c>
      <c r="G14" s="1">
        <v>0.31666666666666665</v>
      </c>
      <c r="H14" s="1">
        <v>0.31736111111111115</v>
      </c>
      <c r="I14" s="1">
        <v>0.31805555555555554</v>
      </c>
      <c r="J14" s="1">
        <v>0.31944444444444448</v>
      </c>
      <c r="K14" s="1">
        <v>0.32291666666666669</v>
      </c>
      <c r="L14" s="1">
        <v>0.32361111111111113</v>
      </c>
      <c r="M14" s="1">
        <v>0.32569444444444445</v>
      </c>
      <c r="N14" s="1">
        <v>0.32708333333333334</v>
      </c>
      <c r="O14" s="1">
        <v>0.32847222222222222</v>
      </c>
      <c r="P14" s="1">
        <v>0.3298611111111111</v>
      </c>
      <c r="Q14" s="1">
        <v>0.33194444444444443</v>
      </c>
      <c r="R14" s="1">
        <v>0.33333333333333331</v>
      </c>
      <c r="S14" s="1">
        <v>0.3354166666666667</v>
      </c>
      <c r="T14" s="5"/>
    </row>
    <row r="15" spans="1:21" x14ac:dyDescent="0.2">
      <c r="A15" t="s">
        <v>8</v>
      </c>
      <c r="B15">
        <v>0</v>
      </c>
      <c r="C15" t="s">
        <v>85</v>
      </c>
      <c r="D15" t="s">
        <v>88</v>
      </c>
      <c r="E15">
        <v>1</v>
      </c>
      <c r="F15">
        <v>1</v>
      </c>
      <c r="G15" s="1">
        <v>0.32500000000000001</v>
      </c>
      <c r="H15" s="1">
        <v>0.32569444444444445</v>
      </c>
      <c r="I15" s="1">
        <v>0.3263888888888889</v>
      </c>
      <c r="J15" s="1">
        <v>0.32777777777777778</v>
      </c>
      <c r="K15" s="1">
        <v>0.33124999999999999</v>
      </c>
      <c r="L15" s="1">
        <v>0.33194444444444443</v>
      </c>
      <c r="M15" s="1">
        <v>0.33402777777777781</v>
      </c>
      <c r="N15" s="1">
        <v>0.3354166666666667</v>
      </c>
      <c r="O15" s="1">
        <v>0.33680555555555558</v>
      </c>
      <c r="P15" s="1">
        <v>0.33819444444444446</v>
      </c>
      <c r="Q15" s="1">
        <v>0.34027777777777773</v>
      </c>
      <c r="R15" s="1">
        <v>0.34166666666666662</v>
      </c>
      <c r="S15" s="1">
        <v>0.34375</v>
      </c>
      <c r="T15" s="5"/>
    </row>
    <row r="16" spans="1:21" x14ac:dyDescent="0.2">
      <c r="A16" t="s">
        <v>8</v>
      </c>
      <c r="B16">
        <v>0</v>
      </c>
      <c r="C16" t="s">
        <v>85</v>
      </c>
      <c r="D16" t="s">
        <v>88</v>
      </c>
      <c r="E16">
        <v>1</v>
      </c>
      <c r="F16">
        <v>1</v>
      </c>
      <c r="G16" s="1">
        <v>0.33402777777777781</v>
      </c>
      <c r="H16" s="1">
        <v>0.3347222222222222</v>
      </c>
      <c r="I16" s="1">
        <v>0.3354166666666667</v>
      </c>
      <c r="J16" s="1">
        <v>0.33680555555555558</v>
      </c>
      <c r="K16" s="1">
        <v>0.34027777777777773</v>
      </c>
      <c r="L16" s="1">
        <v>0.34097222222222223</v>
      </c>
      <c r="M16" s="1">
        <v>0.3430555555555555</v>
      </c>
      <c r="N16" s="1">
        <v>0.3444444444444445</v>
      </c>
      <c r="O16" s="1">
        <v>0.34583333333333338</v>
      </c>
      <c r="P16" s="1">
        <v>0.34722222222222227</v>
      </c>
      <c r="Q16" s="1">
        <v>0.34930555555555554</v>
      </c>
      <c r="R16" s="1">
        <v>0.35069444444444442</v>
      </c>
      <c r="S16" s="1">
        <v>0.3527777777777778</v>
      </c>
      <c r="T16" s="5"/>
    </row>
    <row r="17" spans="1:21" x14ac:dyDescent="0.2">
      <c r="A17" t="s">
        <v>8</v>
      </c>
      <c r="B17">
        <v>0</v>
      </c>
      <c r="C17" t="s">
        <v>85</v>
      </c>
      <c r="D17" t="s">
        <v>88</v>
      </c>
      <c r="E17">
        <v>1</v>
      </c>
      <c r="F17">
        <v>1</v>
      </c>
      <c r="G17" s="1">
        <v>0.3430555555555555</v>
      </c>
      <c r="H17" s="1">
        <v>0.34375</v>
      </c>
      <c r="I17" s="1">
        <v>0.3444444444444445</v>
      </c>
      <c r="J17" s="1">
        <v>0.34583333333333338</v>
      </c>
      <c r="K17" s="1">
        <v>0.34930555555555554</v>
      </c>
      <c r="L17" s="1">
        <v>0.35000000000000003</v>
      </c>
      <c r="M17" s="1">
        <v>0.3520833333333333</v>
      </c>
      <c r="N17" s="1">
        <v>0.35347222222222219</v>
      </c>
      <c r="O17" s="1">
        <v>0.35486111111111113</v>
      </c>
      <c r="P17" s="1">
        <v>0.35625000000000001</v>
      </c>
      <c r="Q17" s="1">
        <v>0.35833333333333334</v>
      </c>
      <c r="R17" s="1">
        <v>0.35972222222222222</v>
      </c>
      <c r="S17" s="1">
        <v>0.36180555555555555</v>
      </c>
      <c r="T17" s="5"/>
    </row>
    <row r="18" spans="1:21" x14ac:dyDescent="0.2">
      <c r="A18" t="s">
        <v>8</v>
      </c>
      <c r="B18">
        <v>0</v>
      </c>
      <c r="C18" t="s">
        <v>85</v>
      </c>
      <c r="D18" t="s">
        <v>88</v>
      </c>
      <c r="E18">
        <v>1</v>
      </c>
      <c r="F18">
        <v>1</v>
      </c>
      <c r="G18" s="1">
        <v>0.3527777777777778</v>
      </c>
      <c r="H18" s="1">
        <v>0.35347222222222219</v>
      </c>
      <c r="I18" s="1">
        <v>0.35416666666666669</v>
      </c>
      <c r="J18" s="1">
        <v>0.35555555555555557</v>
      </c>
      <c r="K18" s="1">
        <v>0.35902777777777778</v>
      </c>
      <c r="L18" s="1">
        <v>0.35972222222222222</v>
      </c>
      <c r="M18" s="1">
        <v>0.36180555555555555</v>
      </c>
      <c r="N18" s="1">
        <v>0.36319444444444443</v>
      </c>
      <c r="O18" s="1">
        <v>0.36458333333333331</v>
      </c>
      <c r="P18" s="1">
        <v>0.3659722222222222</v>
      </c>
      <c r="Q18" s="1">
        <v>0.36805555555555558</v>
      </c>
      <c r="R18" s="1">
        <v>0.36944444444444446</v>
      </c>
      <c r="S18" s="1">
        <v>0.37152777777777773</v>
      </c>
      <c r="T18" s="5"/>
    </row>
    <row r="19" spans="1:21" x14ac:dyDescent="0.2">
      <c r="A19" t="s">
        <v>8</v>
      </c>
      <c r="B19">
        <v>0</v>
      </c>
      <c r="C19" t="s">
        <v>85</v>
      </c>
      <c r="D19" t="s">
        <v>88</v>
      </c>
      <c r="E19">
        <v>1</v>
      </c>
      <c r="F19">
        <v>1</v>
      </c>
      <c r="G19" s="1">
        <v>0.36249999999999999</v>
      </c>
      <c r="H19" s="1">
        <v>0.36319444444444443</v>
      </c>
      <c r="I19" s="1">
        <v>0.36388888888888887</v>
      </c>
      <c r="J19" s="1">
        <v>0.36527777777777781</v>
      </c>
      <c r="K19" s="1">
        <v>0.36874999999999997</v>
      </c>
      <c r="L19" s="1">
        <v>0.36944444444444446</v>
      </c>
      <c r="M19" s="1">
        <v>0.37152777777777773</v>
      </c>
      <c r="N19" s="1">
        <v>0.37291666666666662</v>
      </c>
      <c r="O19" s="1">
        <v>0.3743055555555555</v>
      </c>
      <c r="P19" s="1">
        <v>0.3756944444444445</v>
      </c>
      <c r="Q19" s="1">
        <v>0.37777777777777777</v>
      </c>
      <c r="R19" s="1">
        <v>0.37916666666666665</v>
      </c>
      <c r="S19" s="1">
        <v>0.38125000000000003</v>
      </c>
      <c r="T19" s="5"/>
    </row>
    <row r="20" spans="1:21" x14ac:dyDescent="0.2">
      <c r="A20" t="s">
        <v>8</v>
      </c>
      <c r="B20">
        <v>0</v>
      </c>
      <c r="C20" t="s">
        <v>85</v>
      </c>
      <c r="D20" t="s">
        <v>88</v>
      </c>
      <c r="E20">
        <v>1</v>
      </c>
      <c r="F20">
        <v>1</v>
      </c>
      <c r="G20" s="1">
        <v>0.36944444444444446</v>
      </c>
      <c r="H20" s="1">
        <v>0.37013888888888885</v>
      </c>
      <c r="I20" s="1">
        <v>0.37083333333333335</v>
      </c>
      <c r="J20" s="1">
        <v>0.37222222222222223</v>
      </c>
      <c r="K20" s="1">
        <v>0.3756944444444445</v>
      </c>
      <c r="L20" s="1">
        <v>0.37638888888888888</v>
      </c>
      <c r="M20" s="1">
        <v>0.37847222222222227</v>
      </c>
      <c r="N20" s="1">
        <v>0.37986111111111115</v>
      </c>
      <c r="O20" s="1">
        <v>0.38125000000000003</v>
      </c>
      <c r="P20" s="1">
        <v>0.38263888888888892</v>
      </c>
      <c r="Q20" s="1">
        <v>0.38472222222222219</v>
      </c>
      <c r="R20" s="1">
        <v>0.38611111111111113</v>
      </c>
      <c r="S20" s="1">
        <v>0.38819444444444445</v>
      </c>
      <c r="T20" s="5"/>
    </row>
    <row r="21" spans="1:21" x14ac:dyDescent="0.2">
      <c r="A21" t="s">
        <v>8</v>
      </c>
      <c r="B21">
        <v>0</v>
      </c>
      <c r="C21" t="s">
        <v>85</v>
      </c>
      <c r="D21" t="s">
        <v>88</v>
      </c>
      <c r="E21">
        <v>1</v>
      </c>
      <c r="F21">
        <v>1</v>
      </c>
      <c r="G21" s="1">
        <v>0.37916666666666665</v>
      </c>
      <c r="H21" s="1">
        <v>0.37986111111111115</v>
      </c>
      <c r="I21" s="1">
        <v>0.38055555555555554</v>
      </c>
      <c r="J21" s="1">
        <v>0.38194444444444442</v>
      </c>
      <c r="K21" s="1">
        <v>0.38541666666666669</v>
      </c>
      <c r="L21" s="1">
        <v>0.38611111111111113</v>
      </c>
      <c r="M21" s="1">
        <v>0.38819444444444445</v>
      </c>
      <c r="N21" s="1">
        <v>0.38958333333333334</v>
      </c>
      <c r="O21" s="1">
        <v>0.39097222222222222</v>
      </c>
      <c r="P21" s="1">
        <v>0.3923611111111111</v>
      </c>
      <c r="Q21" s="1">
        <v>0.39444444444444443</v>
      </c>
      <c r="R21" s="1">
        <v>0.39583333333333331</v>
      </c>
      <c r="S21" s="1">
        <v>0.3979166666666667</v>
      </c>
      <c r="T21" s="5"/>
    </row>
    <row r="22" spans="1:21" x14ac:dyDescent="0.2">
      <c r="A22" t="s">
        <v>8</v>
      </c>
      <c r="B22">
        <v>0</v>
      </c>
      <c r="C22" t="s">
        <v>85</v>
      </c>
      <c r="D22" t="s">
        <v>88</v>
      </c>
      <c r="E22">
        <v>1</v>
      </c>
      <c r="F22">
        <v>1</v>
      </c>
      <c r="G22" s="1">
        <v>0.38819444444444445</v>
      </c>
      <c r="H22" s="1">
        <v>0.3888888888888889</v>
      </c>
      <c r="I22" s="1">
        <v>0.38958333333333334</v>
      </c>
      <c r="J22" s="1">
        <v>0.39097222222222222</v>
      </c>
      <c r="K22" s="1">
        <v>0.39444444444444443</v>
      </c>
      <c r="L22" s="1">
        <v>0.39513888888888887</v>
      </c>
      <c r="M22" s="1">
        <v>0.3972222222222222</v>
      </c>
      <c r="N22" s="1">
        <v>0.39861111111111108</v>
      </c>
      <c r="O22" s="1">
        <v>0.39999999999999997</v>
      </c>
      <c r="P22" s="1">
        <v>0.40138888888888885</v>
      </c>
      <c r="Q22" s="1">
        <v>0.40347222222222223</v>
      </c>
      <c r="R22" s="1">
        <v>0.40486111111111112</v>
      </c>
      <c r="S22" s="1">
        <v>0.4069444444444445</v>
      </c>
      <c r="T22" s="5"/>
    </row>
    <row r="23" spans="1:21" x14ac:dyDescent="0.2">
      <c r="A23" t="s">
        <v>8</v>
      </c>
      <c r="B23">
        <v>0</v>
      </c>
      <c r="C23" t="s">
        <v>85</v>
      </c>
      <c r="D23" t="s">
        <v>88</v>
      </c>
      <c r="E23">
        <v>1</v>
      </c>
      <c r="F23">
        <v>1</v>
      </c>
      <c r="G23" s="1">
        <v>0.39444444444444443</v>
      </c>
      <c r="H23" s="1">
        <v>0.39513888888888887</v>
      </c>
      <c r="I23" s="1">
        <v>0.39583333333333331</v>
      </c>
      <c r="J23" s="1">
        <v>0.3972222222222222</v>
      </c>
      <c r="K23" s="1">
        <v>0.40069444444444446</v>
      </c>
      <c r="L23" s="1">
        <v>0.40138888888888885</v>
      </c>
      <c r="M23" s="1">
        <v>0.40347222222222223</v>
      </c>
      <c r="N23" s="1">
        <v>0.40486111111111112</v>
      </c>
      <c r="O23" s="1">
        <v>0.40625</v>
      </c>
      <c r="P23" s="1">
        <v>0.40763888888888888</v>
      </c>
      <c r="Q23" s="1">
        <v>0.40972222222222227</v>
      </c>
      <c r="R23" s="1">
        <v>0.41111111111111115</v>
      </c>
      <c r="S23" s="1">
        <v>0.41319444444444442</v>
      </c>
      <c r="T23" s="5"/>
    </row>
    <row r="24" spans="1:21" x14ac:dyDescent="0.2">
      <c r="A24" t="s">
        <v>8</v>
      </c>
      <c r="B24">
        <v>0</v>
      </c>
      <c r="C24" t="s">
        <v>85</v>
      </c>
      <c r="D24" t="s">
        <v>88</v>
      </c>
      <c r="E24">
        <v>1</v>
      </c>
      <c r="F24">
        <v>1</v>
      </c>
      <c r="G24" s="1">
        <v>0.40208333333333335</v>
      </c>
      <c r="H24" s="1">
        <v>0.40277777777777773</v>
      </c>
      <c r="I24" s="1">
        <v>0.40347222222222223</v>
      </c>
      <c r="J24" s="1">
        <v>0.40486111111111112</v>
      </c>
      <c r="K24" s="1">
        <v>0.40833333333333338</v>
      </c>
      <c r="L24" s="1">
        <v>0.40902777777777777</v>
      </c>
      <c r="M24" s="1">
        <v>0.41111111111111115</v>
      </c>
      <c r="N24" s="1">
        <v>0.41250000000000003</v>
      </c>
      <c r="O24" s="1">
        <v>0.41388888888888892</v>
      </c>
      <c r="P24" s="1">
        <v>0.4152777777777778</v>
      </c>
      <c r="Q24" s="1">
        <v>0.41736111111111113</v>
      </c>
      <c r="R24" s="1">
        <v>0.41875000000000001</v>
      </c>
      <c r="S24" s="1">
        <v>0.42083333333333334</v>
      </c>
      <c r="T24" s="5"/>
    </row>
    <row r="25" spans="1:21" x14ac:dyDescent="0.2">
      <c r="A25" t="s">
        <v>8</v>
      </c>
      <c r="B25">
        <v>0</v>
      </c>
      <c r="C25" t="s">
        <v>85</v>
      </c>
      <c r="D25" t="s">
        <v>88</v>
      </c>
      <c r="E25">
        <v>1</v>
      </c>
      <c r="F25">
        <v>1</v>
      </c>
      <c r="G25" s="1">
        <v>0.40972222222222227</v>
      </c>
      <c r="H25" s="1">
        <v>0.41041666666666665</v>
      </c>
      <c r="I25" s="1">
        <v>0.41111111111111115</v>
      </c>
      <c r="J25" s="1">
        <v>0.41250000000000003</v>
      </c>
      <c r="K25" s="1">
        <v>0.41597222222222219</v>
      </c>
      <c r="L25" s="1">
        <v>0.41666666666666669</v>
      </c>
      <c r="M25" s="1">
        <v>0.41875000000000001</v>
      </c>
      <c r="N25" s="1">
        <v>0.4201388888888889</v>
      </c>
      <c r="O25" s="1">
        <v>0.42152777777777778</v>
      </c>
      <c r="P25" s="1">
        <v>0.42291666666666666</v>
      </c>
      <c r="Q25" s="1">
        <v>0.42499999999999999</v>
      </c>
      <c r="R25" s="1">
        <v>0.42638888888888887</v>
      </c>
      <c r="S25" s="1">
        <v>0.4284722222222222</v>
      </c>
      <c r="T25" s="5">
        <f>TIME(0,15,0)</f>
        <v>1.0416666666666666E-2</v>
      </c>
      <c r="U25" s="3">
        <v>0.55555555555555558</v>
      </c>
    </row>
    <row r="26" spans="1:21" x14ac:dyDescent="0.2">
      <c r="A26" t="s">
        <v>8</v>
      </c>
      <c r="B26">
        <v>0</v>
      </c>
      <c r="C26" t="s">
        <v>85</v>
      </c>
      <c r="D26" t="s">
        <v>88</v>
      </c>
      <c r="E26">
        <v>1</v>
      </c>
      <c r="F26">
        <v>1</v>
      </c>
      <c r="G26" s="1">
        <v>0.56527777777777777</v>
      </c>
      <c r="H26" s="1">
        <v>0.56597222222222221</v>
      </c>
      <c r="I26" s="1">
        <v>0.56666666666666665</v>
      </c>
      <c r="J26" s="1">
        <v>0.56805555555555554</v>
      </c>
      <c r="K26" s="1">
        <v>0.57152777777777775</v>
      </c>
      <c r="L26" s="1">
        <v>0.57222222222222219</v>
      </c>
      <c r="M26" s="1">
        <v>0.57430555555555551</v>
      </c>
      <c r="N26" s="1">
        <v>0.5756944444444444</v>
      </c>
      <c r="O26" s="1">
        <v>0.57708333333333328</v>
      </c>
      <c r="P26" s="1">
        <v>0.57847222222222217</v>
      </c>
      <c r="Q26" s="1">
        <v>0.5805555555555556</v>
      </c>
      <c r="R26" s="1">
        <v>0.58194444444444449</v>
      </c>
      <c r="S26" s="1">
        <v>0.58402777777777781</v>
      </c>
      <c r="T26" s="5"/>
    </row>
    <row r="27" spans="1:21" x14ac:dyDescent="0.2">
      <c r="A27" t="s">
        <v>8</v>
      </c>
      <c r="B27">
        <v>0</v>
      </c>
      <c r="C27" t="s">
        <v>85</v>
      </c>
      <c r="D27" t="s">
        <v>88</v>
      </c>
      <c r="E27">
        <v>1</v>
      </c>
      <c r="F27">
        <v>1</v>
      </c>
      <c r="G27" s="1">
        <v>0.57638888888888895</v>
      </c>
      <c r="H27" s="1">
        <v>0.57708333333333328</v>
      </c>
      <c r="I27" s="1">
        <v>0.57777777777777783</v>
      </c>
      <c r="J27" s="1">
        <v>0.57916666666666672</v>
      </c>
      <c r="K27" s="1">
        <v>0.58263888888888882</v>
      </c>
      <c r="L27" s="1">
        <v>0.58333333333333337</v>
      </c>
      <c r="M27" s="1">
        <v>0.5854166666666667</v>
      </c>
      <c r="N27" s="1">
        <v>0.58680555555555558</v>
      </c>
      <c r="O27" s="1">
        <v>0.58819444444444446</v>
      </c>
      <c r="P27" s="1">
        <v>0.58958333333333335</v>
      </c>
      <c r="Q27" s="1">
        <v>0.59166666666666667</v>
      </c>
      <c r="R27" s="1">
        <v>0.59305555555555556</v>
      </c>
      <c r="S27" s="1">
        <v>0.59513888888888888</v>
      </c>
      <c r="T27" s="5"/>
    </row>
    <row r="28" spans="1:21" x14ac:dyDescent="0.2">
      <c r="A28" t="s">
        <v>8</v>
      </c>
      <c r="B28">
        <v>0</v>
      </c>
      <c r="C28" t="s">
        <v>85</v>
      </c>
      <c r="D28" t="s">
        <v>88</v>
      </c>
      <c r="E28">
        <v>1</v>
      </c>
      <c r="F28">
        <v>1</v>
      </c>
      <c r="G28" s="1">
        <v>0.58611111111111114</v>
      </c>
      <c r="H28" s="1">
        <v>0.58680555555555558</v>
      </c>
      <c r="I28" s="1">
        <v>0.58750000000000002</v>
      </c>
      <c r="J28" s="1">
        <v>0.58888888888888891</v>
      </c>
      <c r="K28" s="1">
        <v>0.59236111111111112</v>
      </c>
      <c r="L28" s="1">
        <v>0.59305555555555556</v>
      </c>
      <c r="M28" s="1">
        <v>0.59513888888888888</v>
      </c>
      <c r="N28" s="1">
        <v>0.59652777777777777</v>
      </c>
      <c r="O28" s="1">
        <v>0.59791666666666665</v>
      </c>
      <c r="P28" s="1">
        <v>0.59930555555555554</v>
      </c>
      <c r="Q28" s="1">
        <v>0.60138888888888886</v>
      </c>
      <c r="R28" s="1">
        <v>0.60277777777777775</v>
      </c>
      <c r="S28" s="1">
        <v>0.60486111111111118</v>
      </c>
      <c r="T28" s="5"/>
    </row>
    <row r="29" spans="1:21" x14ac:dyDescent="0.2">
      <c r="A29" t="s">
        <v>8</v>
      </c>
      <c r="B29">
        <v>0</v>
      </c>
      <c r="C29" t="s">
        <v>85</v>
      </c>
      <c r="D29" t="s">
        <v>88</v>
      </c>
      <c r="E29">
        <v>1</v>
      </c>
      <c r="F29">
        <v>1</v>
      </c>
      <c r="G29" s="1">
        <v>0.59722222222222221</v>
      </c>
      <c r="H29" s="1">
        <v>0.59791666666666665</v>
      </c>
      <c r="I29" s="1">
        <v>0.59861111111111109</v>
      </c>
      <c r="J29" s="1">
        <v>0.6</v>
      </c>
      <c r="K29" s="1">
        <v>0.60347222222222219</v>
      </c>
      <c r="L29" s="1">
        <v>0.60416666666666663</v>
      </c>
      <c r="M29" s="1">
        <v>0.60625000000000007</v>
      </c>
      <c r="N29" s="1">
        <v>0.60763888888888895</v>
      </c>
      <c r="O29" s="1">
        <v>0.60902777777777783</v>
      </c>
      <c r="P29" s="1">
        <v>0.61041666666666672</v>
      </c>
      <c r="Q29" s="1">
        <v>0.61249999999999993</v>
      </c>
      <c r="R29" s="1">
        <v>0.61388888888888882</v>
      </c>
      <c r="S29" s="1">
        <v>0.61597222222222225</v>
      </c>
      <c r="T29" s="5"/>
    </row>
    <row r="30" spans="1:21" x14ac:dyDescent="0.2">
      <c r="A30" t="s">
        <v>8</v>
      </c>
      <c r="B30">
        <v>0</v>
      </c>
      <c r="C30" t="s">
        <v>85</v>
      </c>
      <c r="D30" t="s">
        <v>88</v>
      </c>
      <c r="E30">
        <v>1</v>
      </c>
      <c r="F30">
        <v>1</v>
      </c>
      <c r="G30" s="1">
        <v>0.60763888888888895</v>
      </c>
      <c r="H30" s="1">
        <v>0.60833333333333328</v>
      </c>
      <c r="I30" s="1">
        <v>0.60902777777777783</v>
      </c>
      <c r="J30" s="1">
        <v>0.61041666666666672</v>
      </c>
      <c r="K30" s="1">
        <v>0.61388888888888882</v>
      </c>
      <c r="L30" s="1">
        <v>0.61458333333333337</v>
      </c>
      <c r="M30" s="1">
        <v>0.6166666666666667</v>
      </c>
      <c r="N30" s="1">
        <v>0.61805555555555558</v>
      </c>
      <c r="O30" s="1">
        <v>0.61944444444444446</v>
      </c>
      <c r="P30" s="1">
        <v>0.62083333333333335</v>
      </c>
      <c r="Q30" s="1">
        <v>0.62291666666666667</v>
      </c>
      <c r="R30" s="1">
        <v>0.62430555555555556</v>
      </c>
      <c r="S30" s="1">
        <v>0.62638888888888888</v>
      </c>
      <c r="T30" s="5"/>
    </row>
    <row r="31" spans="1:21" x14ac:dyDescent="0.2">
      <c r="A31" t="s">
        <v>8</v>
      </c>
      <c r="B31">
        <v>0</v>
      </c>
      <c r="C31" t="s">
        <v>85</v>
      </c>
      <c r="D31" t="s">
        <v>88</v>
      </c>
      <c r="E31">
        <v>1</v>
      </c>
      <c r="F31">
        <v>1</v>
      </c>
      <c r="G31" s="1">
        <v>0.61527777777777781</v>
      </c>
      <c r="H31" s="1">
        <v>0.61597222222222225</v>
      </c>
      <c r="I31" s="1">
        <v>0.6166666666666667</v>
      </c>
      <c r="J31" s="1">
        <v>0.61805555555555558</v>
      </c>
      <c r="K31" s="1">
        <v>0.62152777777777779</v>
      </c>
      <c r="L31" s="1">
        <v>0.62222222222222223</v>
      </c>
      <c r="M31" s="1">
        <v>0.62430555555555556</v>
      </c>
      <c r="N31" s="1">
        <v>0.62569444444444444</v>
      </c>
      <c r="O31" s="1">
        <v>0.62708333333333333</v>
      </c>
      <c r="P31" s="1">
        <v>0.62847222222222221</v>
      </c>
      <c r="Q31" s="1">
        <v>0.63055555555555554</v>
      </c>
      <c r="R31" s="1">
        <v>0.63194444444444442</v>
      </c>
      <c r="S31" s="1">
        <v>0.63402777777777775</v>
      </c>
      <c r="T31" s="5"/>
    </row>
    <row r="32" spans="1:21" x14ac:dyDescent="0.2">
      <c r="A32" t="s">
        <v>8</v>
      </c>
      <c r="B32">
        <v>0</v>
      </c>
      <c r="C32" t="s">
        <v>85</v>
      </c>
      <c r="D32" t="s">
        <v>88</v>
      </c>
      <c r="E32">
        <v>1</v>
      </c>
      <c r="F32">
        <v>1</v>
      </c>
      <c r="G32" s="1">
        <v>0.62361111111111112</v>
      </c>
      <c r="H32" s="1">
        <v>0.62430555555555556</v>
      </c>
      <c r="I32" s="1">
        <v>0.625</v>
      </c>
      <c r="J32" s="1">
        <v>0.62638888888888888</v>
      </c>
      <c r="K32" s="1">
        <v>0.62986111111111109</v>
      </c>
      <c r="L32" s="1">
        <v>0.63055555555555554</v>
      </c>
      <c r="M32" s="1">
        <v>0.63263888888888886</v>
      </c>
      <c r="N32" s="1">
        <v>0.63402777777777775</v>
      </c>
      <c r="O32" s="1">
        <v>0.63541666666666663</v>
      </c>
      <c r="P32" s="1">
        <v>0.63680555555555551</v>
      </c>
      <c r="Q32" s="1">
        <v>0.63888888888888895</v>
      </c>
      <c r="R32" s="1">
        <v>0.64027777777777783</v>
      </c>
      <c r="S32" s="1">
        <v>0.64236111111111105</v>
      </c>
      <c r="T32" s="5"/>
    </row>
    <row r="33" spans="1:21" x14ac:dyDescent="0.2">
      <c r="A33" t="s">
        <v>8</v>
      </c>
      <c r="B33">
        <v>0</v>
      </c>
      <c r="C33" t="s">
        <v>85</v>
      </c>
      <c r="D33" t="s">
        <v>88</v>
      </c>
      <c r="E33">
        <v>1</v>
      </c>
      <c r="F33">
        <v>1</v>
      </c>
      <c r="G33" s="1">
        <v>0.63194444444444442</v>
      </c>
      <c r="H33" s="1">
        <v>0.63263888888888886</v>
      </c>
      <c r="I33" s="1">
        <v>0.6333333333333333</v>
      </c>
      <c r="J33" s="1">
        <v>0.63472222222222219</v>
      </c>
      <c r="K33" s="1">
        <v>0.6381944444444444</v>
      </c>
      <c r="L33" s="1">
        <v>0.63888888888888895</v>
      </c>
      <c r="M33" s="1">
        <v>0.64097222222222217</v>
      </c>
      <c r="N33" s="1">
        <v>0.64236111111111105</v>
      </c>
      <c r="O33" s="1">
        <v>0.64374999999999993</v>
      </c>
      <c r="P33" s="1">
        <v>0.64513888888888882</v>
      </c>
      <c r="Q33" s="1">
        <v>0.64722222222222225</v>
      </c>
      <c r="R33" s="1">
        <v>0.64861111111111114</v>
      </c>
      <c r="S33" s="1">
        <v>0.65069444444444446</v>
      </c>
      <c r="T33" s="5"/>
    </row>
    <row r="34" spans="1:21" x14ac:dyDescent="0.2">
      <c r="A34" t="s">
        <v>8</v>
      </c>
      <c r="B34">
        <v>0</v>
      </c>
      <c r="C34" t="s">
        <v>85</v>
      </c>
      <c r="D34" t="s">
        <v>88</v>
      </c>
      <c r="E34">
        <v>1</v>
      </c>
      <c r="F34">
        <v>1</v>
      </c>
      <c r="G34" s="1">
        <v>0.64027777777777783</v>
      </c>
      <c r="H34" s="1">
        <v>0.64097222222222217</v>
      </c>
      <c r="I34" s="1">
        <v>0.64166666666666672</v>
      </c>
      <c r="J34" s="1">
        <v>0.6430555555555556</v>
      </c>
      <c r="K34" s="1">
        <v>0.64652777777777781</v>
      </c>
      <c r="L34" s="1">
        <v>0.64722222222222225</v>
      </c>
      <c r="M34" s="1">
        <v>0.64930555555555558</v>
      </c>
      <c r="N34" s="1">
        <v>0.65069444444444446</v>
      </c>
      <c r="O34" s="1">
        <v>0.65208333333333335</v>
      </c>
      <c r="P34" s="1">
        <v>0.65347222222222223</v>
      </c>
      <c r="Q34" s="1">
        <v>0.65555555555555556</v>
      </c>
      <c r="R34" s="1">
        <v>0.65694444444444444</v>
      </c>
      <c r="S34" s="1">
        <v>0.65902777777777777</v>
      </c>
      <c r="T34" s="5"/>
    </row>
    <row r="35" spans="1:21" x14ac:dyDescent="0.2">
      <c r="A35" t="s">
        <v>8</v>
      </c>
      <c r="B35">
        <v>0</v>
      </c>
      <c r="C35" t="s">
        <v>85</v>
      </c>
      <c r="D35" t="s">
        <v>88</v>
      </c>
      <c r="E35">
        <v>1</v>
      </c>
      <c r="F35">
        <v>1</v>
      </c>
      <c r="G35" s="1">
        <v>0.64861111111111114</v>
      </c>
      <c r="H35" s="1">
        <v>0.64930555555555558</v>
      </c>
      <c r="I35" s="1">
        <v>0.65</v>
      </c>
      <c r="J35" s="1">
        <v>0.65138888888888891</v>
      </c>
      <c r="K35" s="1">
        <v>0.65486111111111112</v>
      </c>
      <c r="L35" s="1">
        <v>0.65555555555555556</v>
      </c>
      <c r="M35" s="1">
        <v>0.65763888888888888</v>
      </c>
      <c r="N35" s="1">
        <v>0.65902777777777777</v>
      </c>
      <c r="O35" s="1">
        <v>0.66041666666666665</v>
      </c>
      <c r="P35" s="1">
        <v>0.66180555555555554</v>
      </c>
      <c r="Q35" s="1">
        <v>0.66388888888888886</v>
      </c>
      <c r="R35" s="1">
        <v>0.66527777777777775</v>
      </c>
      <c r="S35" s="1">
        <v>0.66736111111111107</v>
      </c>
      <c r="T35" s="5"/>
    </row>
    <row r="36" spans="1:21" x14ac:dyDescent="0.2">
      <c r="A36" t="s">
        <v>8</v>
      </c>
      <c r="B36">
        <v>0</v>
      </c>
      <c r="C36" t="s">
        <v>85</v>
      </c>
      <c r="D36" t="s">
        <v>88</v>
      </c>
      <c r="E36">
        <v>1</v>
      </c>
      <c r="F36">
        <v>1</v>
      </c>
      <c r="G36" s="1">
        <v>0.65555555555555556</v>
      </c>
      <c r="H36" s="1">
        <v>0.65625</v>
      </c>
      <c r="I36" s="1">
        <v>0.65694444444444444</v>
      </c>
      <c r="J36" s="1">
        <v>0.65833333333333333</v>
      </c>
      <c r="K36" s="1">
        <v>0.66180555555555554</v>
      </c>
      <c r="L36" s="1">
        <v>0.66249999999999998</v>
      </c>
      <c r="M36" s="1">
        <v>0.6645833333333333</v>
      </c>
      <c r="N36" s="1">
        <v>0.66597222222222219</v>
      </c>
      <c r="O36" s="1">
        <v>0.66736111111111107</v>
      </c>
      <c r="P36" s="1">
        <v>0.66875000000000007</v>
      </c>
      <c r="Q36" s="1">
        <v>0.67083333333333339</v>
      </c>
      <c r="R36" s="1">
        <v>0.67222222222222217</v>
      </c>
      <c r="S36" s="1">
        <v>0.6743055555555556</v>
      </c>
      <c r="T36" s="5"/>
    </row>
    <row r="37" spans="1:21" x14ac:dyDescent="0.2">
      <c r="A37" t="s">
        <v>8</v>
      </c>
      <c r="B37">
        <v>0</v>
      </c>
      <c r="C37" t="s">
        <v>85</v>
      </c>
      <c r="D37" t="s">
        <v>88</v>
      </c>
      <c r="E37">
        <v>1</v>
      </c>
      <c r="F37">
        <v>1</v>
      </c>
      <c r="G37" s="1">
        <v>0.66249999999999998</v>
      </c>
      <c r="H37" s="1">
        <v>0.66319444444444442</v>
      </c>
      <c r="I37" s="1">
        <v>0.66388888888888886</v>
      </c>
      <c r="J37" s="1">
        <v>0.66527777777777775</v>
      </c>
      <c r="K37" s="1">
        <v>0.66875000000000007</v>
      </c>
      <c r="L37" s="1">
        <v>0.6694444444444444</v>
      </c>
      <c r="M37" s="1">
        <v>0.67152777777777783</v>
      </c>
      <c r="N37" s="1">
        <v>0.67291666666666661</v>
      </c>
      <c r="O37" s="1">
        <v>0.6743055555555556</v>
      </c>
      <c r="P37" s="1">
        <v>0.67569444444444438</v>
      </c>
      <c r="Q37" s="1">
        <v>0.6777777777777777</v>
      </c>
      <c r="R37" s="1">
        <v>0.6791666666666667</v>
      </c>
      <c r="S37" s="1">
        <v>0.68125000000000002</v>
      </c>
      <c r="T37" s="5"/>
      <c r="U37" s="3"/>
    </row>
    <row r="38" spans="1:21" x14ac:dyDescent="0.2">
      <c r="A38" t="s">
        <v>8</v>
      </c>
      <c r="B38">
        <v>0</v>
      </c>
      <c r="C38" t="s">
        <v>85</v>
      </c>
      <c r="D38" t="s">
        <v>88</v>
      </c>
      <c r="E38">
        <v>1</v>
      </c>
      <c r="F38">
        <v>1</v>
      </c>
      <c r="G38" s="1">
        <v>0.66805555555555562</v>
      </c>
      <c r="H38" s="1">
        <v>0.66875000000000007</v>
      </c>
      <c r="I38" s="1">
        <v>0.6694444444444444</v>
      </c>
      <c r="J38" s="1">
        <v>0.67083333333333339</v>
      </c>
      <c r="K38" s="1">
        <v>0.6743055555555556</v>
      </c>
      <c r="L38" s="1">
        <v>0.67499999999999993</v>
      </c>
      <c r="M38" s="1">
        <v>0.67708333333333337</v>
      </c>
      <c r="N38" s="1">
        <v>0.67847222222222225</v>
      </c>
      <c r="O38" s="1">
        <v>0.67986111111111114</v>
      </c>
      <c r="P38" s="1">
        <v>0.68125000000000002</v>
      </c>
      <c r="Q38" s="1">
        <v>0.68333333333333324</v>
      </c>
      <c r="R38" s="1">
        <v>0.68472222222222223</v>
      </c>
      <c r="S38" s="1">
        <v>0.68680555555555556</v>
      </c>
      <c r="T38" s="5"/>
    </row>
    <row r="39" spans="1:21" x14ac:dyDescent="0.2">
      <c r="A39" t="s">
        <v>8</v>
      </c>
      <c r="B39">
        <v>0</v>
      </c>
      <c r="C39" t="s">
        <v>85</v>
      </c>
      <c r="D39" t="s">
        <v>88</v>
      </c>
      <c r="E39">
        <v>1</v>
      </c>
      <c r="F39">
        <v>1</v>
      </c>
      <c r="G39" s="1">
        <v>0.6743055555555556</v>
      </c>
      <c r="H39" s="1">
        <v>0.67499999999999993</v>
      </c>
      <c r="I39" s="1">
        <v>0.67569444444444438</v>
      </c>
      <c r="J39" s="1">
        <v>0.67708333333333337</v>
      </c>
      <c r="K39" s="1">
        <v>0.68055555555555547</v>
      </c>
      <c r="L39" s="1">
        <v>0.68125000000000002</v>
      </c>
      <c r="M39" s="1">
        <v>0.68333333333333324</v>
      </c>
      <c r="N39" s="1">
        <v>0.68472222222222223</v>
      </c>
      <c r="O39" s="1">
        <v>0.68611111111111101</v>
      </c>
      <c r="P39" s="1">
        <v>0.6875</v>
      </c>
      <c r="Q39" s="1">
        <v>0.68958333333333333</v>
      </c>
      <c r="R39" s="1">
        <v>0.69097222222222221</v>
      </c>
      <c r="S39" s="1">
        <v>0.69305555555555554</v>
      </c>
      <c r="T39" s="5"/>
    </row>
    <row r="40" spans="1:21" x14ac:dyDescent="0.2">
      <c r="A40" t="s">
        <v>8</v>
      </c>
      <c r="B40">
        <v>0</v>
      </c>
      <c r="C40" t="s">
        <v>85</v>
      </c>
      <c r="D40" t="s">
        <v>88</v>
      </c>
      <c r="E40">
        <v>1</v>
      </c>
      <c r="F40">
        <v>1</v>
      </c>
      <c r="G40" s="1">
        <v>0.68125000000000002</v>
      </c>
      <c r="H40" s="1">
        <v>0.68194444444444446</v>
      </c>
      <c r="I40" s="1">
        <v>0.68263888888888891</v>
      </c>
      <c r="J40" s="1">
        <v>0.68402777777777779</v>
      </c>
      <c r="K40" s="1">
        <v>0.6875</v>
      </c>
      <c r="L40" s="1">
        <v>0.68819444444444444</v>
      </c>
      <c r="M40" s="1">
        <v>0.69027777777777777</v>
      </c>
      <c r="N40" s="1">
        <v>0.69166666666666676</v>
      </c>
      <c r="O40" s="1">
        <v>0.69305555555555554</v>
      </c>
      <c r="P40" s="1">
        <v>0.69444444444444453</v>
      </c>
      <c r="Q40" s="1">
        <v>0.69652777777777775</v>
      </c>
      <c r="R40" s="1">
        <v>0.69791666666666663</v>
      </c>
      <c r="S40" s="1">
        <v>0.70000000000000007</v>
      </c>
      <c r="T40" s="5"/>
    </row>
    <row r="41" spans="1:21" x14ac:dyDescent="0.2">
      <c r="A41" t="s">
        <v>8</v>
      </c>
      <c r="B41">
        <v>0</v>
      </c>
      <c r="C41" t="s">
        <v>85</v>
      </c>
      <c r="D41" t="s">
        <v>88</v>
      </c>
      <c r="E41">
        <v>1</v>
      </c>
      <c r="F41">
        <v>1</v>
      </c>
      <c r="G41" s="1">
        <v>0.68402777777777779</v>
      </c>
      <c r="H41" s="1">
        <v>0.68472222222222223</v>
      </c>
      <c r="I41" s="1">
        <v>0.68541666666666667</v>
      </c>
      <c r="J41" s="1">
        <v>0.68680555555555556</v>
      </c>
      <c r="K41" s="1">
        <v>0.69027777777777777</v>
      </c>
      <c r="L41" s="1">
        <v>0.69097222222222221</v>
      </c>
      <c r="M41" s="1">
        <v>0.69305555555555554</v>
      </c>
      <c r="N41" s="1">
        <v>0.69444444444444453</v>
      </c>
      <c r="O41" s="1">
        <v>0.6958333333333333</v>
      </c>
      <c r="P41" s="1">
        <v>0.6972222222222223</v>
      </c>
      <c r="Q41" s="1">
        <v>0.69930555555555562</v>
      </c>
      <c r="R41" s="1">
        <v>0.7006944444444444</v>
      </c>
      <c r="S41" s="1">
        <v>0.70277777777777783</v>
      </c>
      <c r="T41" s="5"/>
    </row>
    <row r="42" spans="1:21" x14ac:dyDescent="0.2">
      <c r="A42" t="s">
        <v>8</v>
      </c>
      <c r="B42">
        <v>0</v>
      </c>
      <c r="C42" t="s">
        <v>85</v>
      </c>
      <c r="D42" t="s">
        <v>88</v>
      </c>
      <c r="E42">
        <v>1</v>
      </c>
      <c r="F42">
        <v>1</v>
      </c>
      <c r="G42" s="1">
        <v>0.68888888888888899</v>
      </c>
      <c r="H42" s="1">
        <v>0.68958333333333333</v>
      </c>
      <c r="I42" s="1">
        <v>0.69027777777777777</v>
      </c>
      <c r="J42" s="1">
        <v>0.69166666666666676</v>
      </c>
      <c r="K42" s="1">
        <v>0.69513888888888886</v>
      </c>
      <c r="L42" s="1">
        <v>0.6958333333333333</v>
      </c>
      <c r="M42" s="1">
        <v>0.69791666666666663</v>
      </c>
      <c r="N42" s="1">
        <v>0.69930555555555562</v>
      </c>
      <c r="O42" s="1">
        <v>0.7006944444444444</v>
      </c>
      <c r="P42" s="1">
        <v>0.70208333333333339</v>
      </c>
      <c r="Q42" s="1">
        <v>0.70416666666666661</v>
      </c>
      <c r="R42" s="1">
        <v>0.7055555555555556</v>
      </c>
      <c r="S42" s="1">
        <v>0.70763888888888893</v>
      </c>
      <c r="T42" s="5"/>
    </row>
    <row r="43" spans="1:21" x14ac:dyDescent="0.2">
      <c r="A43" t="s">
        <v>8</v>
      </c>
      <c r="B43">
        <v>0</v>
      </c>
      <c r="C43" t="s">
        <v>85</v>
      </c>
      <c r="D43" t="s">
        <v>88</v>
      </c>
      <c r="E43">
        <v>1</v>
      </c>
      <c r="F43">
        <v>1</v>
      </c>
      <c r="G43" s="1">
        <v>0.69305555555555554</v>
      </c>
      <c r="H43" s="1">
        <v>0.69374999999999998</v>
      </c>
      <c r="I43" s="1">
        <v>0.69444444444444453</v>
      </c>
      <c r="J43" s="1">
        <v>0.6958333333333333</v>
      </c>
      <c r="K43" s="1">
        <v>0.69930555555555562</v>
      </c>
      <c r="L43" s="1">
        <v>0.70000000000000007</v>
      </c>
      <c r="M43" s="1">
        <v>0.70208333333333339</v>
      </c>
      <c r="N43" s="1">
        <v>0.70347222222222217</v>
      </c>
      <c r="O43" s="1">
        <v>0.70486111111111116</v>
      </c>
      <c r="P43" s="1">
        <v>0.70624999999999993</v>
      </c>
      <c r="Q43" s="1">
        <v>0.70833333333333337</v>
      </c>
      <c r="R43" s="1">
        <v>0.70972222222222225</v>
      </c>
      <c r="S43" s="1">
        <v>0.71180555555555547</v>
      </c>
      <c r="T43" s="5"/>
    </row>
    <row r="44" spans="1:21" x14ac:dyDescent="0.2">
      <c r="A44" t="s">
        <v>8</v>
      </c>
      <c r="B44">
        <v>0</v>
      </c>
      <c r="C44" t="s">
        <v>85</v>
      </c>
      <c r="D44" t="s">
        <v>88</v>
      </c>
      <c r="E44">
        <v>1</v>
      </c>
      <c r="F44">
        <v>1</v>
      </c>
      <c r="G44" s="1">
        <v>0.6972222222222223</v>
      </c>
      <c r="H44" s="1">
        <v>0.69791666666666663</v>
      </c>
      <c r="I44" s="1">
        <v>0.69861111111111107</v>
      </c>
      <c r="J44" s="1">
        <v>0.70000000000000007</v>
      </c>
      <c r="K44" s="1">
        <v>0.70347222222222217</v>
      </c>
      <c r="L44" s="1">
        <v>0.70416666666666661</v>
      </c>
      <c r="M44" s="1">
        <v>0.70624999999999993</v>
      </c>
      <c r="N44" s="1">
        <v>0.70763888888888893</v>
      </c>
      <c r="O44" s="1">
        <v>0.7090277777777777</v>
      </c>
      <c r="P44" s="1">
        <v>0.7104166666666667</v>
      </c>
      <c r="Q44" s="1">
        <v>0.71250000000000002</v>
      </c>
      <c r="R44" s="1">
        <v>0.71388888888888891</v>
      </c>
      <c r="S44" s="1">
        <v>0.71597222222222223</v>
      </c>
      <c r="T44" s="5"/>
    </row>
    <row r="45" spans="1:21" x14ac:dyDescent="0.2">
      <c r="A45" t="s">
        <v>8</v>
      </c>
      <c r="B45">
        <v>0</v>
      </c>
      <c r="C45" t="s">
        <v>85</v>
      </c>
      <c r="D45" t="s">
        <v>88</v>
      </c>
      <c r="E45">
        <v>1</v>
      </c>
      <c r="F45">
        <v>1</v>
      </c>
      <c r="G45" s="1">
        <v>0.70208333333333339</v>
      </c>
      <c r="H45" s="1">
        <v>0.70277777777777783</v>
      </c>
      <c r="I45" s="1">
        <v>0.70347222222222217</v>
      </c>
      <c r="J45" s="1">
        <v>0.70486111111111116</v>
      </c>
      <c r="K45" s="1">
        <v>0.70833333333333337</v>
      </c>
      <c r="L45" s="1">
        <v>0.7090277777777777</v>
      </c>
      <c r="M45" s="1">
        <v>0.71111111111111114</v>
      </c>
      <c r="N45" s="1">
        <v>0.71250000000000002</v>
      </c>
      <c r="O45" s="1">
        <v>0.71388888888888891</v>
      </c>
      <c r="P45" s="1">
        <v>0.71527777777777779</v>
      </c>
      <c r="Q45" s="1">
        <v>0.71736111111111101</v>
      </c>
      <c r="R45" s="1">
        <v>0.71875</v>
      </c>
      <c r="S45" s="1">
        <v>0.72083333333333333</v>
      </c>
      <c r="T45" s="5"/>
    </row>
    <row r="46" spans="1:21" x14ac:dyDescent="0.2">
      <c r="A46" t="s">
        <v>8</v>
      </c>
      <c r="B46">
        <v>0</v>
      </c>
      <c r="C46" t="s">
        <v>85</v>
      </c>
      <c r="D46" t="s">
        <v>88</v>
      </c>
      <c r="E46">
        <v>1</v>
      </c>
      <c r="F46">
        <v>1</v>
      </c>
      <c r="G46" s="1">
        <v>0.70694444444444438</v>
      </c>
      <c r="H46" s="1">
        <v>0.70763888888888893</v>
      </c>
      <c r="I46" s="1">
        <v>0.70833333333333337</v>
      </c>
      <c r="J46" s="1">
        <v>0.70972222222222225</v>
      </c>
      <c r="K46" s="1">
        <v>0.71319444444444446</v>
      </c>
      <c r="L46" s="1">
        <v>0.71388888888888891</v>
      </c>
      <c r="M46" s="1">
        <v>0.71597222222222223</v>
      </c>
      <c r="N46" s="1">
        <v>0.71736111111111101</v>
      </c>
      <c r="O46" s="1">
        <v>0.71875</v>
      </c>
      <c r="P46" s="1">
        <v>0.72013888888888899</v>
      </c>
      <c r="Q46" s="1">
        <v>0.72222222222222221</v>
      </c>
      <c r="R46" s="1">
        <v>0.72361111111111109</v>
      </c>
      <c r="S46" s="1">
        <v>0.72569444444444453</v>
      </c>
      <c r="T46" s="5"/>
    </row>
    <row r="47" spans="1:21" x14ac:dyDescent="0.2">
      <c r="A47" t="s">
        <v>8</v>
      </c>
      <c r="B47">
        <v>0</v>
      </c>
      <c r="C47" t="s">
        <v>85</v>
      </c>
      <c r="D47" t="s">
        <v>88</v>
      </c>
      <c r="E47">
        <v>1</v>
      </c>
      <c r="F47">
        <v>1</v>
      </c>
      <c r="G47" s="1">
        <v>0.71111111111111114</v>
      </c>
      <c r="H47" s="1">
        <v>0.71180555555555547</v>
      </c>
      <c r="I47" s="1">
        <v>0.71250000000000002</v>
      </c>
      <c r="J47" s="1">
        <v>0.71388888888888891</v>
      </c>
      <c r="K47" s="1">
        <v>0.71736111111111101</v>
      </c>
      <c r="L47" s="1">
        <v>0.71805555555555556</v>
      </c>
      <c r="M47" s="1">
        <v>0.72013888888888899</v>
      </c>
      <c r="N47" s="1">
        <v>0.72152777777777777</v>
      </c>
      <c r="O47" s="1">
        <v>0.72291666666666676</v>
      </c>
      <c r="P47" s="1">
        <v>0.72430555555555554</v>
      </c>
      <c r="Q47" s="1">
        <v>0.72638888888888886</v>
      </c>
      <c r="R47" s="1">
        <v>0.72777777777777775</v>
      </c>
      <c r="S47" s="1">
        <v>0.72986111111111107</v>
      </c>
      <c r="T47" s="5"/>
    </row>
    <row r="48" spans="1:21" x14ac:dyDescent="0.2">
      <c r="A48" t="s">
        <v>8</v>
      </c>
      <c r="B48">
        <v>0</v>
      </c>
      <c r="C48" t="s">
        <v>85</v>
      </c>
      <c r="D48" t="s">
        <v>88</v>
      </c>
      <c r="E48">
        <v>1</v>
      </c>
      <c r="F48">
        <v>1</v>
      </c>
      <c r="G48" s="1">
        <v>0.71527777777777779</v>
      </c>
      <c r="H48" s="1">
        <v>0.71597222222222223</v>
      </c>
      <c r="I48" s="1">
        <v>0.71666666666666667</v>
      </c>
      <c r="J48" s="1">
        <v>0.71805555555555556</v>
      </c>
      <c r="K48" s="1">
        <v>0.72152777777777777</v>
      </c>
      <c r="L48" s="1">
        <v>0.72222222222222221</v>
      </c>
      <c r="M48" s="1">
        <v>0.72430555555555554</v>
      </c>
      <c r="N48" s="1">
        <v>0.72569444444444453</v>
      </c>
      <c r="O48" s="1">
        <v>0.7270833333333333</v>
      </c>
      <c r="P48" s="1">
        <v>0.7284722222222223</v>
      </c>
      <c r="Q48" s="1">
        <v>0.73055555555555562</v>
      </c>
      <c r="R48" s="1">
        <v>0.7319444444444444</v>
      </c>
      <c r="S48" s="1">
        <v>0.73402777777777783</v>
      </c>
      <c r="T48" s="5"/>
    </row>
    <row r="49" spans="1:21" x14ac:dyDescent="0.2">
      <c r="A49" t="s">
        <v>8</v>
      </c>
      <c r="B49">
        <v>0</v>
      </c>
      <c r="C49" t="s">
        <v>85</v>
      </c>
      <c r="D49" t="s">
        <v>88</v>
      </c>
      <c r="E49">
        <v>1</v>
      </c>
      <c r="F49">
        <v>1</v>
      </c>
      <c r="G49" s="1">
        <v>0.72083333333333333</v>
      </c>
      <c r="H49" s="1">
        <v>0.72152777777777777</v>
      </c>
      <c r="I49" s="1">
        <v>0.72222222222222221</v>
      </c>
      <c r="J49" s="1">
        <v>0.72361111111111109</v>
      </c>
      <c r="K49" s="1">
        <v>0.7270833333333333</v>
      </c>
      <c r="L49" s="1">
        <v>0.72777777777777775</v>
      </c>
      <c r="M49" s="1">
        <v>0.72986111111111107</v>
      </c>
      <c r="N49" s="1">
        <v>0.73125000000000007</v>
      </c>
      <c r="O49" s="1">
        <v>0.73263888888888884</v>
      </c>
      <c r="P49" s="1">
        <v>0.73402777777777783</v>
      </c>
      <c r="Q49" s="1">
        <v>0.73611111111111116</v>
      </c>
      <c r="R49" s="1">
        <v>0.73749999999999993</v>
      </c>
      <c r="S49" s="1">
        <v>0.73958333333333337</v>
      </c>
      <c r="T49" s="5"/>
    </row>
    <row r="50" spans="1:21" x14ac:dyDescent="0.2">
      <c r="A50" t="s">
        <v>8</v>
      </c>
      <c r="B50">
        <v>0</v>
      </c>
      <c r="C50" t="s">
        <v>85</v>
      </c>
      <c r="D50" t="s">
        <v>88</v>
      </c>
      <c r="E50">
        <v>1</v>
      </c>
      <c r="F50">
        <v>1</v>
      </c>
      <c r="G50" s="1">
        <v>0.72499999999999998</v>
      </c>
      <c r="H50" s="1">
        <v>0.72569444444444453</v>
      </c>
      <c r="I50" s="1">
        <v>0.72638888888888886</v>
      </c>
      <c r="J50" s="1">
        <v>0.72777777777777775</v>
      </c>
      <c r="K50" s="1">
        <v>0.73125000000000007</v>
      </c>
      <c r="L50" s="1">
        <v>0.7319444444444444</v>
      </c>
      <c r="M50" s="1">
        <v>0.73402777777777783</v>
      </c>
      <c r="N50" s="1">
        <v>0.73541666666666661</v>
      </c>
      <c r="O50" s="1">
        <v>0.7368055555555556</v>
      </c>
      <c r="P50" s="1">
        <v>0.73819444444444438</v>
      </c>
      <c r="Q50" s="1">
        <v>0.7402777777777777</v>
      </c>
      <c r="R50" s="1">
        <v>0.7416666666666667</v>
      </c>
      <c r="S50" s="1">
        <v>0.74375000000000002</v>
      </c>
      <c r="T50" s="5"/>
    </row>
    <row r="51" spans="1:21" x14ac:dyDescent="0.2">
      <c r="A51" t="s">
        <v>8</v>
      </c>
      <c r="B51">
        <v>0</v>
      </c>
      <c r="C51" t="s">
        <v>85</v>
      </c>
      <c r="D51" t="s">
        <v>88</v>
      </c>
      <c r="E51">
        <v>1</v>
      </c>
      <c r="F51">
        <v>1</v>
      </c>
      <c r="G51" s="1">
        <v>0.72986111111111107</v>
      </c>
      <c r="H51" s="1">
        <v>0.73055555555555562</v>
      </c>
      <c r="I51" s="1">
        <v>0.73125000000000007</v>
      </c>
      <c r="J51" s="1">
        <v>0.73263888888888884</v>
      </c>
      <c r="K51" s="1">
        <v>0.73611111111111116</v>
      </c>
      <c r="L51" s="1">
        <v>0.7368055555555556</v>
      </c>
      <c r="M51" s="1">
        <v>0.73888888888888893</v>
      </c>
      <c r="N51" s="1">
        <v>0.7402777777777777</v>
      </c>
      <c r="O51" s="1">
        <v>0.7416666666666667</v>
      </c>
      <c r="P51" s="1">
        <v>0.74305555555555547</v>
      </c>
      <c r="Q51" s="1">
        <v>0.74513888888888891</v>
      </c>
      <c r="R51" s="1">
        <v>0.74652777777777779</v>
      </c>
      <c r="S51" s="1">
        <v>0.74861111111111101</v>
      </c>
      <c r="T51" s="5"/>
    </row>
    <row r="52" spans="1:21" x14ac:dyDescent="0.2">
      <c r="A52" t="s">
        <v>8</v>
      </c>
      <c r="B52">
        <v>0</v>
      </c>
      <c r="C52" t="s">
        <v>85</v>
      </c>
      <c r="D52" t="s">
        <v>88</v>
      </c>
      <c r="E52">
        <v>1</v>
      </c>
      <c r="F52">
        <v>1</v>
      </c>
      <c r="G52" s="1">
        <v>0.73402777777777783</v>
      </c>
      <c r="H52" s="1">
        <v>0.73472222222222217</v>
      </c>
      <c r="I52" s="1">
        <v>0.73541666666666661</v>
      </c>
      <c r="J52" s="1">
        <v>0.7368055555555556</v>
      </c>
      <c r="K52" s="1">
        <v>0.7402777777777777</v>
      </c>
      <c r="L52" s="1">
        <v>0.74097222222222225</v>
      </c>
      <c r="M52" s="1">
        <v>0.74305555555555547</v>
      </c>
      <c r="N52" s="1">
        <v>0.74444444444444446</v>
      </c>
      <c r="O52" s="1">
        <v>0.74583333333333324</v>
      </c>
      <c r="P52" s="1">
        <v>0.74722222222222223</v>
      </c>
      <c r="Q52" s="1">
        <v>0.74930555555555556</v>
      </c>
      <c r="R52" s="1">
        <v>0.75069444444444444</v>
      </c>
      <c r="S52" s="1">
        <v>0.75277777777777777</v>
      </c>
      <c r="T52" s="5"/>
    </row>
    <row r="53" spans="1:21" x14ac:dyDescent="0.2">
      <c r="A53" t="s">
        <v>8</v>
      </c>
      <c r="B53">
        <v>0</v>
      </c>
      <c r="C53" t="s">
        <v>85</v>
      </c>
      <c r="D53" t="s">
        <v>88</v>
      </c>
      <c r="E53">
        <v>1</v>
      </c>
      <c r="F53">
        <v>1</v>
      </c>
      <c r="G53" s="1">
        <v>0.73819444444444438</v>
      </c>
      <c r="H53" s="1">
        <v>0.73888888888888893</v>
      </c>
      <c r="I53" s="1">
        <v>0.73958333333333337</v>
      </c>
      <c r="J53" s="1">
        <v>0.74097222222222225</v>
      </c>
      <c r="K53" s="1">
        <v>0.74444444444444446</v>
      </c>
      <c r="L53" s="1">
        <v>0.74513888888888891</v>
      </c>
      <c r="M53" s="1">
        <v>0.74722222222222223</v>
      </c>
      <c r="N53" s="1">
        <v>0.74861111111111101</v>
      </c>
      <c r="O53" s="1">
        <v>0.75</v>
      </c>
      <c r="P53" s="1">
        <v>0.75138888888888899</v>
      </c>
      <c r="Q53" s="1">
        <v>0.75347222222222221</v>
      </c>
      <c r="R53" s="1">
        <v>0.75486111111111109</v>
      </c>
      <c r="S53" s="1">
        <v>0.75694444444444453</v>
      </c>
      <c r="T53" s="5"/>
    </row>
    <row r="54" spans="1:21" x14ac:dyDescent="0.2">
      <c r="A54" t="s">
        <v>8</v>
      </c>
      <c r="B54">
        <v>0</v>
      </c>
      <c r="C54" t="s">
        <v>85</v>
      </c>
      <c r="D54" t="s">
        <v>88</v>
      </c>
      <c r="E54">
        <v>1</v>
      </c>
      <c r="F54">
        <v>1</v>
      </c>
      <c r="G54" s="1">
        <v>0.7416666666666667</v>
      </c>
      <c r="H54" s="1">
        <v>0.74236111111111114</v>
      </c>
      <c r="I54" s="1">
        <v>0.74305555555555547</v>
      </c>
      <c r="J54" s="1">
        <v>0.74444444444444446</v>
      </c>
      <c r="K54" s="1">
        <v>0.74791666666666667</v>
      </c>
      <c r="L54" s="1">
        <v>0.74861111111111101</v>
      </c>
      <c r="M54" s="1">
        <v>0.75069444444444444</v>
      </c>
      <c r="N54" s="1">
        <v>0.75208333333333333</v>
      </c>
      <c r="O54" s="1">
        <v>0.75347222222222221</v>
      </c>
      <c r="P54" s="1">
        <v>0.75486111111111109</v>
      </c>
      <c r="Q54" s="1">
        <v>0.75694444444444453</v>
      </c>
      <c r="R54" s="1">
        <v>0.7583333333333333</v>
      </c>
      <c r="S54" s="1">
        <v>0.76041666666666663</v>
      </c>
      <c r="T54" s="5"/>
    </row>
    <row r="55" spans="1:21" x14ac:dyDescent="0.2">
      <c r="A55" t="s">
        <v>8</v>
      </c>
      <c r="B55">
        <v>0</v>
      </c>
      <c r="C55" t="s">
        <v>85</v>
      </c>
      <c r="D55" t="s">
        <v>88</v>
      </c>
      <c r="E55">
        <v>1</v>
      </c>
      <c r="F55">
        <v>1</v>
      </c>
      <c r="G55" s="1">
        <v>0.74652777777777779</v>
      </c>
      <c r="H55" s="1">
        <v>0.74722222222222223</v>
      </c>
      <c r="I55" s="1">
        <v>0.74791666666666667</v>
      </c>
      <c r="J55" s="1">
        <v>0.74930555555555556</v>
      </c>
      <c r="K55" s="1">
        <v>0.75277777777777777</v>
      </c>
      <c r="L55" s="1">
        <v>0.75347222222222221</v>
      </c>
      <c r="M55" s="1">
        <v>0.75555555555555554</v>
      </c>
      <c r="N55" s="1">
        <v>0.75694444444444453</v>
      </c>
      <c r="O55" s="1">
        <v>0.7583333333333333</v>
      </c>
      <c r="P55" s="1">
        <v>0.7597222222222223</v>
      </c>
      <c r="Q55" s="1">
        <v>0.76180555555555562</v>
      </c>
      <c r="R55" s="1">
        <v>0.7631944444444444</v>
      </c>
      <c r="S55" s="1">
        <v>0.76527777777777783</v>
      </c>
      <c r="T55" s="5"/>
    </row>
    <row r="56" spans="1:21" x14ac:dyDescent="0.2">
      <c r="A56" t="s">
        <v>8</v>
      </c>
      <c r="B56">
        <v>0</v>
      </c>
      <c r="C56" t="s">
        <v>85</v>
      </c>
      <c r="D56" t="s">
        <v>88</v>
      </c>
      <c r="E56">
        <v>1</v>
      </c>
      <c r="F56">
        <v>1</v>
      </c>
      <c r="G56" s="1">
        <v>0.75208333333333333</v>
      </c>
      <c r="H56" s="1">
        <v>0.75277777777777777</v>
      </c>
      <c r="I56" s="1">
        <v>0.75347222222222221</v>
      </c>
      <c r="J56" s="1">
        <v>0.75486111111111109</v>
      </c>
      <c r="K56" s="1">
        <v>0.7583333333333333</v>
      </c>
      <c r="L56" s="1">
        <v>0.75902777777777775</v>
      </c>
      <c r="M56" s="1">
        <v>0.76111111111111107</v>
      </c>
      <c r="N56" s="1">
        <v>0.76250000000000007</v>
      </c>
      <c r="O56" s="1">
        <v>0.76388888888888884</v>
      </c>
      <c r="P56" s="1">
        <v>0.76527777777777783</v>
      </c>
      <c r="Q56" s="1">
        <v>0.76736111111111116</v>
      </c>
      <c r="R56" s="1">
        <v>0.76874999999999993</v>
      </c>
      <c r="S56" s="1">
        <v>0.77083333333333337</v>
      </c>
      <c r="T56" s="5"/>
    </row>
    <row r="57" spans="1:21" x14ac:dyDescent="0.2">
      <c r="A57" t="s">
        <v>8</v>
      </c>
      <c r="B57">
        <v>0</v>
      </c>
      <c r="C57" t="s">
        <v>85</v>
      </c>
      <c r="D57" t="s">
        <v>88</v>
      </c>
      <c r="E57">
        <v>1</v>
      </c>
      <c r="F57">
        <v>1</v>
      </c>
      <c r="G57" s="1">
        <v>0.75902777777777775</v>
      </c>
      <c r="H57" s="1">
        <v>0.7597222222222223</v>
      </c>
      <c r="I57" s="1">
        <v>0.76041666666666663</v>
      </c>
      <c r="J57" s="1">
        <v>0.76180555555555562</v>
      </c>
      <c r="K57" s="1">
        <v>0.76527777777777783</v>
      </c>
      <c r="L57" s="1">
        <v>0.76597222222222217</v>
      </c>
      <c r="M57" s="1">
        <v>0.7680555555555556</v>
      </c>
      <c r="N57" s="1">
        <v>0.76944444444444438</v>
      </c>
      <c r="O57" s="1">
        <v>0.77083333333333337</v>
      </c>
      <c r="P57" s="1">
        <v>0.77222222222222225</v>
      </c>
      <c r="Q57" s="1">
        <v>0.77430555555555547</v>
      </c>
      <c r="R57" s="1">
        <v>0.77569444444444446</v>
      </c>
      <c r="S57" s="1">
        <v>0.77777777777777779</v>
      </c>
      <c r="T57" s="5"/>
    </row>
    <row r="58" spans="1:21" x14ac:dyDescent="0.2">
      <c r="A58" t="s">
        <v>8</v>
      </c>
      <c r="B58">
        <v>0</v>
      </c>
      <c r="C58" t="s">
        <v>85</v>
      </c>
      <c r="D58" t="s">
        <v>88</v>
      </c>
      <c r="E58">
        <v>1</v>
      </c>
      <c r="F58">
        <v>1</v>
      </c>
      <c r="G58" s="1">
        <v>0.76666666666666661</v>
      </c>
      <c r="H58" s="1">
        <v>0.76736111111111116</v>
      </c>
      <c r="I58" s="1">
        <v>0.7680555555555556</v>
      </c>
      <c r="J58" s="1">
        <v>0.76944444444444438</v>
      </c>
      <c r="K58" s="1">
        <v>0.7729166666666667</v>
      </c>
      <c r="L58" s="1">
        <v>0.77361111111111114</v>
      </c>
      <c r="M58" s="1">
        <v>0.77569444444444446</v>
      </c>
      <c r="N58" s="1">
        <v>0.77708333333333324</v>
      </c>
      <c r="O58" s="1">
        <v>0.77847222222222223</v>
      </c>
      <c r="P58" s="1">
        <v>0.77986111111111101</v>
      </c>
      <c r="Q58" s="1">
        <v>0.78194444444444444</v>
      </c>
      <c r="R58" s="1">
        <v>0.78333333333333333</v>
      </c>
      <c r="S58" s="1">
        <v>0.78541666666666676</v>
      </c>
      <c r="T58" s="5"/>
    </row>
    <row r="59" spans="1:21" x14ac:dyDescent="0.2">
      <c r="A59" t="s">
        <v>8</v>
      </c>
      <c r="B59">
        <v>0</v>
      </c>
      <c r="C59" t="s">
        <v>85</v>
      </c>
      <c r="D59" t="s">
        <v>88</v>
      </c>
      <c r="E59">
        <v>1</v>
      </c>
      <c r="F59">
        <v>1</v>
      </c>
      <c r="G59" s="1">
        <v>0.77361111111111114</v>
      </c>
      <c r="H59" s="1">
        <v>0.77430555555555547</v>
      </c>
      <c r="I59" s="1">
        <v>0.77500000000000002</v>
      </c>
      <c r="J59" s="1">
        <v>0.77638888888888891</v>
      </c>
      <c r="K59" s="1">
        <v>0.77986111111111101</v>
      </c>
      <c r="L59" s="1">
        <v>0.78055555555555556</v>
      </c>
      <c r="M59" s="1">
        <v>0.78263888888888899</v>
      </c>
      <c r="N59" s="1">
        <v>0.78402777777777777</v>
      </c>
      <c r="O59" s="1">
        <v>0.78541666666666676</v>
      </c>
      <c r="P59" s="1">
        <v>0.78680555555555554</v>
      </c>
      <c r="Q59" s="1">
        <v>0.78888888888888886</v>
      </c>
      <c r="R59" s="1">
        <v>0.79027777777777775</v>
      </c>
      <c r="S59" s="1">
        <v>0.79236111111111107</v>
      </c>
      <c r="T59" s="5"/>
    </row>
    <row r="60" spans="1:21" x14ac:dyDescent="0.2">
      <c r="A60" t="s">
        <v>8</v>
      </c>
      <c r="B60">
        <v>0</v>
      </c>
      <c r="C60" t="s">
        <v>85</v>
      </c>
      <c r="D60" t="s">
        <v>88</v>
      </c>
      <c r="E60">
        <v>1</v>
      </c>
      <c r="F60">
        <v>1</v>
      </c>
      <c r="G60" s="1">
        <v>0.77986111111111101</v>
      </c>
      <c r="H60" s="1">
        <v>0.78055555555555556</v>
      </c>
      <c r="I60" s="1">
        <v>0.78125</v>
      </c>
      <c r="J60" s="1">
        <v>0.78263888888888899</v>
      </c>
      <c r="K60" s="1">
        <v>0.78611111111111109</v>
      </c>
      <c r="L60" s="1">
        <v>0.78680555555555554</v>
      </c>
      <c r="M60" s="1">
        <v>0.78888888888888886</v>
      </c>
      <c r="N60" s="1">
        <v>0.79027777777777775</v>
      </c>
      <c r="O60" s="1">
        <v>0.79166666666666663</v>
      </c>
      <c r="P60" s="1">
        <v>0.79305555555555562</v>
      </c>
      <c r="Q60" s="1">
        <v>0.79513888888888884</v>
      </c>
      <c r="R60" s="1">
        <v>0.79652777777777783</v>
      </c>
      <c r="S60" s="1">
        <v>0.79861111111111116</v>
      </c>
      <c r="T60" s="5"/>
    </row>
    <row r="61" spans="1:21" x14ac:dyDescent="0.2">
      <c r="A61" t="s">
        <v>8</v>
      </c>
      <c r="B61">
        <v>0</v>
      </c>
      <c r="C61" t="s">
        <v>85</v>
      </c>
      <c r="D61" t="s">
        <v>88</v>
      </c>
      <c r="E61">
        <v>1</v>
      </c>
      <c r="F61">
        <v>1</v>
      </c>
      <c r="G61" s="1">
        <v>0.78680555555555554</v>
      </c>
      <c r="H61" s="1">
        <v>0.78749999999999998</v>
      </c>
      <c r="I61" s="1">
        <v>0.78819444444444453</v>
      </c>
      <c r="J61" s="1">
        <v>0.7895833333333333</v>
      </c>
      <c r="K61" s="1">
        <v>0.79305555555555562</v>
      </c>
      <c r="L61" s="1">
        <v>0.79375000000000007</v>
      </c>
      <c r="M61" s="1">
        <v>0.79583333333333339</v>
      </c>
      <c r="N61" s="1">
        <v>0.79722222222222217</v>
      </c>
      <c r="O61" s="1">
        <v>0.79861111111111116</v>
      </c>
      <c r="P61" s="1">
        <v>0.79999999999999993</v>
      </c>
      <c r="Q61" s="1">
        <v>0.80208333333333337</v>
      </c>
      <c r="R61" s="1">
        <v>0.80347222222222225</v>
      </c>
      <c r="S61" s="1">
        <v>0.80555555555555547</v>
      </c>
      <c r="T61" s="5"/>
      <c r="U61" s="3"/>
    </row>
    <row r="62" spans="1:21" x14ac:dyDescent="0.2">
      <c r="A62" t="s">
        <v>8</v>
      </c>
      <c r="B62">
        <v>0</v>
      </c>
      <c r="C62" t="s">
        <v>85</v>
      </c>
      <c r="D62" t="s">
        <v>88</v>
      </c>
      <c r="E62">
        <v>1</v>
      </c>
      <c r="F62">
        <v>1</v>
      </c>
      <c r="G62" s="1">
        <v>0.7944444444444444</v>
      </c>
      <c r="H62" s="1">
        <v>0.79513888888888884</v>
      </c>
      <c r="I62" s="1">
        <v>0.79583333333333339</v>
      </c>
      <c r="J62" s="1">
        <v>0.79722222222222217</v>
      </c>
      <c r="K62" s="1">
        <v>0.80069444444444438</v>
      </c>
      <c r="L62" s="1">
        <v>0.80138888888888893</v>
      </c>
      <c r="M62" s="1">
        <v>0.80347222222222225</v>
      </c>
      <c r="N62" s="1">
        <v>0.80486111111111114</v>
      </c>
      <c r="O62" s="1">
        <v>0.80625000000000002</v>
      </c>
      <c r="P62" s="1">
        <v>0.80763888888888891</v>
      </c>
      <c r="Q62" s="1">
        <v>0.80972222222222223</v>
      </c>
      <c r="R62" s="1">
        <v>0.81111111111111101</v>
      </c>
      <c r="S62" s="1">
        <v>0.81319444444444444</v>
      </c>
      <c r="T62" s="5">
        <f>TIME(0,15,0)</f>
        <v>1.0416666666666666E-2</v>
      </c>
      <c r="U62" s="3">
        <v>0.8881944444444444</v>
      </c>
    </row>
    <row r="63" spans="1:21" x14ac:dyDescent="0.2">
      <c r="A63" t="s">
        <v>8</v>
      </c>
      <c r="B63">
        <v>0</v>
      </c>
      <c r="C63" t="s">
        <v>85</v>
      </c>
      <c r="D63" t="s">
        <v>88</v>
      </c>
      <c r="E63">
        <v>1</v>
      </c>
      <c r="F63">
        <v>1</v>
      </c>
      <c r="G63" s="1">
        <v>0.89930555555555547</v>
      </c>
      <c r="H63" s="1">
        <v>0.9</v>
      </c>
      <c r="I63" s="1">
        <v>0.90069444444444446</v>
      </c>
      <c r="J63" s="1">
        <v>0.90208333333333324</v>
      </c>
      <c r="K63" s="1">
        <v>0.90555555555555556</v>
      </c>
      <c r="L63" s="1">
        <v>0.90625</v>
      </c>
      <c r="M63" s="1">
        <v>0.90833333333333333</v>
      </c>
      <c r="N63" s="1">
        <v>0.90972222222222221</v>
      </c>
      <c r="O63" s="1">
        <v>0.91111111111111109</v>
      </c>
      <c r="P63" s="1">
        <v>0.91249999999999998</v>
      </c>
      <c r="Q63" s="1">
        <v>0.9145833333333333</v>
      </c>
      <c r="R63" s="1">
        <v>0.9159722222222223</v>
      </c>
      <c r="S63" s="1">
        <v>0.91805555555555562</v>
      </c>
      <c r="T63" s="5"/>
    </row>
    <row r="64" spans="1:21" x14ac:dyDescent="0.2">
      <c r="A64" t="s">
        <v>8</v>
      </c>
      <c r="B64">
        <v>0</v>
      </c>
      <c r="C64" t="s">
        <v>85</v>
      </c>
      <c r="D64" t="s">
        <v>88</v>
      </c>
      <c r="E64">
        <v>1</v>
      </c>
      <c r="F64">
        <v>1</v>
      </c>
      <c r="G64" s="1">
        <v>0.90972222222222221</v>
      </c>
      <c r="H64" s="1">
        <v>0.91041666666666676</v>
      </c>
      <c r="I64" s="1">
        <v>0.91111111111111109</v>
      </c>
      <c r="J64" s="1">
        <v>0.91249999999999998</v>
      </c>
      <c r="K64" s="1">
        <v>0.9159722222222223</v>
      </c>
      <c r="L64" s="1">
        <v>0.91666666666666663</v>
      </c>
      <c r="M64" s="1">
        <v>0.91875000000000007</v>
      </c>
      <c r="N64" s="1">
        <v>0.92013888888888884</v>
      </c>
      <c r="O64" s="1">
        <v>0.92152777777777783</v>
      </c>
      <c r="P64" s="1">
        <v>0.92291666666666661</v>
      </c>
      <c r="Q64" s="1">
        <v>0.92499999999999993</v>
      </c>
      <c r="R64" s="1">
        <v>0.92638888888888893</v>
      </c>
      <c r="S64" s="1">
        <v>0.92847222222222225</v>
      </c>
      <c r="T64" s="5"/>
    </row>
    <row r="65" spans="1:21" x14ac:dyDescent="0.2">
      <c r="A65" t="s">
        <v>8</v>
      </c>
      <c r="B65">
        <v>0</v>
      </c>
      <c r="C65" t="s">
        <v>85</v>
      </c>
      <c r="D65" t="s">
        <v>88</v>
      </c>
      <c r="E65">
        <v>1</v>
      </c>
      <c r="F65">
        <v>1</v>
      </c>
      <c r="G65" s="1">
        <v>0.92013888888888884</v>
      </c>
      <c r="H65" s="1">
        <v>0.92083333333333339</v>
      </c>
      <c r="I65" s="1">
        <v>0.92152777777777783</v>
      </c>
      <c r="J65" s="1">
        <v>0.92291666666666661</v>
      </c>
      <c r="K65" s="1">
        <v>0.92638888888888893</v>
      </c>
      <c r="L65" s="1">
        <v>0.92708333333333337</v>
      </c>
      <c r="M65" s="1">
        <v>0.9291666666666667</v>
      </c>
      <c r="N65" s="1">
        <v>0.93055555555555547</v>
      </c>
      <c r="O65" s="1">
        <v>0.93194444444444446</v>
      </c>
      <c r="P65" s="1">
        <v>0.93333333333333324</v>
      </c>
      <c r="Q65" s="1">
        <v>0.93541666666666667</v>
      </c>
      <c r="R65" s="1">
        <v>0.93680555555555556</v>
      </c>
      <c r="S65" s="1">
        <v>0.93888888888888899</v>
      </c>
      <c r="T65" s="5">
        <f>TIME(0,20,0)</f>
        <v>1.3888888888888888E-2</v>
      </c>
      <c r="U65" s="3">
        <v>0.98958333333333337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Settings &amp; Checks</vt:lpstr>
      <vt:lpstr>Agency</vt:lpstr>
      <vt:lpstr>Feed Info</vt:lpstr>
      <vt:lpstr>Routes</vt:lpstr>
      <vt:lpstr>Stops</vt:lpstr>
      <vt:lpstr>Shapes</vt:lpstr>
      <vt:lpstr>Fare Rules</vt:lpstr>
      <vt:lpstr>Fare Attributes</vt:lpstr>
      <vt:lpstr>Calendar</vt:lpstr>
      <vt:lpstr>Calendar Dates</vt:lpstr>
      <vt:lpstr>20211009WeekdayWB</vt:lpstr>
      <vt:lpstr>20211009WeekdayEB</vt:lpstr>
      <vt:lpstr>20211009SatWB</vt:lpstr>
      <vt:lpstr>20211009SatEB</vt:lpstr>
      <vt:lpstr>20211009SunWB</vt:lpstr>
      <vt:lpstr>20211009SunEB</vt:lpstr>
      <vt:lpstr>2021-12-11-EB</vt:lpstr>
      <vt:lpstr>2021-12-11-WB</vt:lpstr>
      <vt:lpstr>2021-12-12-WB</vt:lpstr>
      <vt:lpstr>2021-12-13 WB</vt:lpstr>
      <vt:lpstr>2021-12-13 EB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Kessler</dc:creator>
  <cp:lastModifiedBy>Jeff Kessler</cp:lastModifiedBy>
  <dcterms:created xsi:type="dcterms:W3CDTF">2021-12-12T01:03:32Z</dcterms:created>
  <dcterms:modified xsi:type="dcterms:W3CDTF">2021-12-12T21:16:32Z</dcterms:modified>
</cp:coreProperties>
</file>